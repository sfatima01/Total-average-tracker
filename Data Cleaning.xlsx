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17895" windowHeight="9660"/>
  </bookViews>
  <sheets>
    <sheet name="Sheet1 (2)" sheetId="1" r:id="rId1"/>
  </sheets>
  <calcPr calcId="145621"/>
</workbook>
</file>

<file path=xl/calcChain.xml><?xml version="1.0" encoding="utf-8"?>
<calcChain xmlns="http://schemas.openxmlformats.org/spreadsheetml/2006/main">
  <c r="J6" i="1" l="1"/>
  <c r="J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5" i="1"/>
  <c r="J14" i="1"/>
  <c r="J13" i="1"/>
  <c r="J12" i="1"/>
  <c r="J11" i="1"/>
  <c r="J10" i="1"/>
  <c r="J9" i="1"/>
  <c r="J8" i="1"/>
  <c r="J7" i="1"/>
  <c r="J5" i="1"/>
  <c r="J4" i="1"/>
  <c r="J3" i="1"/>
</calcChain>
</file>

<file path=xl/sharedStrings.xml><?xml version="1.0" encoding="utf-8"?>
<sst xmlns="http://schemas.openxmlformats.org/spreadsheetml/2006/main" count="118" uniqueCount="72">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</sst>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tabSelected="1" workbookViewId="0">
      <selection activeCell="K30" sqref="K30"/>
    </sheetView>
  </sheetViews>
  <sheetFormatPr defaultColWidth="11.25" defaultRowHeight="15.75" x14ac:dyDescent="0.25"/>
  <cols>
    <col min="1" max="1" width="6.625" customWidth="1"/>
    <col min="2" max="2" width="10.125" bestFit="1" customWidth="1"/>
    <col min="3" max="3" width="43.125" bestFit="1" customWidth="1"/>
    <col min="4" max="4" width="16.875" bestFit="1" customWidth="1"/>
    <col min="5" max="5" width="16.875" customWidth="1"/>
    <col min="6" max="6" width="16.875" bestFit="1" customWidth="1"/>
    <col min="7" max="8" width="7.875" bestFit="1" customWidth="1"/>
    <col min="9" max="9" width="7" bestFit="1" customWidth="1"/>
    <col min="10" max="10" width="11.5" bestFit="1" customWidth="1"/>
    <col min="11" max="27" width="10.5" customWidth="1"/>
  </cols>
  <sheetData>
    <row r="2" spans="2:10" x14ac:dyDescent="0.25">
      <c r="B2" s="1" t="s">
        <v>0</v>
      </c>
      <c r="C2" s="1" t="s">
        <v>1</v>
      </c>
      <c r="D2" s="2" t="s">
        <v>2</v>
      </c>
      <c r="E2" s="2"/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2:10" x14ac:dyDescent="0.25">
      <c r="B3" s="3">
        <v>45076</v>
      </c>
      <c r="C3" s="1" t="s">
        <v>8</v>
      </c>
      <c r="D3" s="1" t="s">
        <v>9</v>
      </c>
      <c r="E3" s="6" t="str">
        <f>TRIM(PROPER(D3))</f>
        <v>Bill Smith</v>
      </c>
      <c r="F3" s="1" t="s">
        <v>10</v>
      </c>
      <c r="G3" s="1" t="s">
        <v>11</v>
      </c>
      <c r="H3" s="4">
        <v>4500</v>
      </c>
      <c r="I3" s="4">
        <v>598</v>
      </c>
      <c r="J3" s="5">
        <f>I3/H3</f>
        <v>0.13288888888888889</v>
      </c>
    </row>
    <row r="4" spans="2:10" x14ac:dyDescent="0.25">
      <c r="B4" s="3">
        <v>45076</v>
      </c>
      <c r="C4" s="1" t="s">
        <v>12</v>
      </c>
      <c r="D4" s="1" t="s">
        <v>13</v>
      </c>
      <c r="E4" s="6" t="str">
        <f>TRIM(PROPER(D4))</f>
        <v>Ken Singh</v>
      </c>
      <c r="F4" s="1" t="s">
        <v>14</v>
      </c>
      <c r="G4" s="1" t="s">
        <v>15</v>
      </c>
      <c r="H4" s="4">
        <v>3800</v>
      </c>
      <c r="I4" s="4">
        <v>1045</v>
      </c>
      <c r="J4" s="5">
        <f>I4/H4</f>
        <v>0.27500000000000002</v>
      </c>
    </row>
    <row r="5" spans="2:10" x14ac:dyDescent="0.25">
      <c r="B5" s="3">
        <v>45076</v>
      </c>
      <c r="C5" s="1" t="s">
        <v>16</v>
      </c>
      <c r="D5" s="1" t="s">
        <v>17</v>
      </c>
      <c r="E5" s="6" t="str">
        <f>TRIM(PROPER(D5))</f>
        <v>Harley Fritz</v>
      </c>
      <c r="F5" s="1" t="s">
        <v>14</v>
      </c>
      <c r="G5">
        <v>0</v>
      </c>
      <c r="H5" s="4">
        <v>3712.5</v>
      </c>
      <c r="I5" s="4">
        <v>1009</v>
      </c>
      <c r="J5" s="5">
        <f>I5/H5</f>
        <v>0.2717845117845118</v>
      </c>
    </row>
    <row r="6" spans="2:10" x14ac:dyDescent="0.25">
      <c r="B6" s="3">
        <v>45076</v>
      </c>
      <c r="C6" s="1" t="s">
        <v>18</v>
      </c>
      <c r="D6" s="1" t="s">
        <v>19</v>
      </c>
      <c r="E6" s="6" t="str">
        <f>TRIM(PROPER(D6))</f>
        <v>Nyla Novak</v>
      </c>
      <c r="F6" s="1" t="s">
        <v>20</v>
      </c>
      <c r="G6">
        <v>0</v>
      </c>
      <c r="H6" s="4">
        <v>0</v>
      </c>
      <c r="I6" s="4">
        <v>779</v>
      </c>
      <c r="J6" s="5">
        <f>IFERROR(0.2,0)</f>
        <v>0.2</v>
      </c>
    </row>
    <row r="7" spans="2:10" x14ac:dyDescent="0.25">
      <c r="B7" s="3">
        <v>45076</v>
      </c>
      <c r="C7" s="1" t="s">
        <v>21</v>
      </c>
      <c r="D7" s="1" t="s">
        <v>22</v>
      </c>
      <c r="E7" s="6" t="str">
        <f>TRIM(PROPER(D7))</f>
        <v>David Rasmussen</v>
      </c>
      <c r="F7" s="1" t="s">
        <v>20</v>
      </c>
      <c r="G7" s="1" t="s">
        <v>23</v>
      </c>
      <c r="H7" s="4">
        <v>5000</v>
      </c>
      <c r="I7" s="4">
        <v>684</v>
      </c>
      <c r="J7" s="5">
        <f>I7/H7</f>
        <v>0.1368</v>
      </c>
    </row>
    <row r="8" spans="2:10" x14ac:dyDescent="0.25">
      <c r="B8" s="3">
        <v>45077</v>
      </c>
      <c r="C8" s="1" t="s">
        <v>24</v>
      </c>
      <c r="D8" s="1" t="s">
        <v>25</v>
      </c>
      <c r="E8" s="6" t="str">
        <f>TRIM(PROPER(D8))</f>
        <v>Ivan Hiney</v>
      </c>
      <c r="F8" s="1" t="s">
        <v>10</v>
      </c>
      <c r="G8" s="1" t="s">
        <v>11</v>
      </c>
      <c r="H8" s="4">
        <v>6100</v>
      </c>
      <c r="I8" s="4">
        <v>544</v>
      </c>
      <c r="J8" s="5">
        <f>I8/H8</f>
        <v>8.9180327868852466E-2</v>
      </c>
    </row>
    <row r="9" spans="2:10" x14ac:dyDescent="0.25">
      <c r="B9" s="3">
        <v>45077</v>
      </c>
      <c r="C9" s="1" t="s">
        <v>26</v>
      </c>
      <c r="D9" s="1" t="s">
        <v>27</v>
      </c>
      <c r="E9" s="6" t="str">
        <f>TRIM(PROPER(D9))</f>
        <v>Jonha Ma</v>
      </c>
      <c r="F9" s="1" t="s">
        <v>10</v>
      </c>
      <c r="G9" s="1" t="s">
        <v>11</v>
      </c>
      <c r="H9" s="4">
        <v>4625</v>
      </c>
      <c r="I9" s="4">
        <v>670</v>
      </c>
      <c r="J9" s="5">
        <f>I9/H9</f>
        <v>0.14486486486486486</v>
      </c>
    </row>
    <row r="10" spans="2:10" x14ac:dyDescent="0.25">
      <c r="B10" s="3">
        <v>45077</v>
      </c>
      <c r="C10" s="1" t="s">
        <v>28</v>
      </c>
      <c r="D10" s="1" t="s">
        <v>29</v>
      </c>
      <c r="E10" s="6" t="str">
        <f>TRIM(PROPER(D10))</f>
        <v>Jordan Boone</v>
      </c>
      <c r="F10" s="1" t="s">
        <v>10</v>
      </c>
      <c r="G10" s="1" t="s">
        <v>11</v>
      </c>
      <c r="H10" s="4">
        <v>3800</v>
      </c>
      <c r="I10" s="4">
        <v>2045</v>
      </c>
      <c r="J10" s="5">
        <f>I10/H10</f>
        <v>0.53815789473684206</v>
      </c>
    </row>
    <row r="11" spans="2:10" x14ac:dyDescent="0.25">
      <c r="B11" s="3">
        <v>45077</v>
      </c>
      <c r="C11" s="1" t="s">
        <v>30</v>
      </c>
      <c r="D11" s="1" t="s">
        <v>31</v>
      </c>
      <c r="E11" s="6" t="str">
        <f>TRIM(PROPER(D11))</f>
        <v>Kylee Townsend</v>
      </c>
      <c r="F11" s="1" t="s">
        <v>10</v>
      </c>
      <c r="G11" s="1" t="s">
        <v>32</v>
      </c>
      <c r="H11" s="4">
        <v>3600</v>
      </c>
      <c r="I11" s="4">
        <v>1564</v>
      </c>
      <c r="J11" s="5">
        <f>I11/H11</f>
        <v>0.43444444444444447</v>
      </c>
    </row>
    <row r="12" spans="2:10" x14ac:dyDescent="0.25">
      <c r="B12" s="3">
        <v>45077</v>
      </c>
      <c r="C12" s="1" t="s">
        <v>33</v>
      </c>
      <c r="D12" s="1" t="s">
        <v>34</v>
      </c>
      <c r="E12" s="6" t="str">
        <f>TRIM(PROPER(D12))</f>
        <v>Nora Rollins</v>
      </c>
      <c r="F12" s="1" t="s">
        <v>10</v>
      </c>
      <c r="G12" s="1" t="s">
        <v>23</v>
      </c>
      <c r="H12" s="4">
        <v>5100</v>
      </c>
      <c r="I12" s="4">
        <v>1220</v>
      </c>
      <c r="J12" s="5">
        <f>I12/H12</f>
        <v>0.23921568627450981</v>
      </c>
    </row>
    <row r="13" spans="2:10" x14ac:dyDescent="0.25">
      <c r="B13" s="3">
        <v>45077</v>
      </c>
      <c r="C13" s="1" t="s">
        <v>35</v>
      </c>
      <c r="D13" s="1" t="s">
        <v>36</v>
      </c>
      <c r="E13" s="6" t="str">
        <f>TRIM(PROPER(D13))</f>
        <v>Brendan Wallace</v>
      </c>
      <c r="F13" s="1" t="s">
        <v>10</v>
      </c>
      <c r="G13" s="1" t="s">
        <v>23</v>
      </c>
      <c r="H13" s="4">
        <v>4750</v>
      </c>
      <c r="I13" s="4">
        <v>1435</v>
      </c>
      <c r="J13" s="5">
        <f>I13/H13</f>
        <v>0.30210526315789471</v>
      </c>
    </row>
    <row r="14" spans="2:10" x14ac:dyDescent="0.25">
      <c r="B14" s="3">
        <v>45077</v>
      </c>
      <c r="C14" s="1" t="s">
        <v>37</v>
      </c>
      <c r="D14" s="1" t="s">
        <v>38</v>
      </c>
      <c r="E14" s="6" t="str">
        <f>TRIM(PROPER(D14))</f>
        <v>Conor Wise</v>
      </c>
      <c r="F14" s="1" t="s">
        <v>20</v>
      </c>
      <c r="G14" s="1" t="s">
        <v>11</v>
      </c>
      <c r="H14" s="4">
        <v>6000</v>
      </c>
      <c r="I14" s="4">
        <v>998</v>
      </c>
      <c r="J14" s="5">
        <f>I14/H14</f>
        <v>0.16633333333333333</v>
      </c>
    </row>
    <row r="15" spans="2:10" x14ac:dyDescent="0.25">
      <c r="B15" s="3">
        <v>45077</v>
      </c>
      <c r="C15" s="1" t="s">
        <v>39</v>
      </c>
      <c r="D15" s="1" t="s">
        <v>40</v>
      </c>
      <c r="E15" s="6" t="str">
        <f>TRIM(PROPER(D15))</f>
        <v>Steven Michael</v>
      </c>
      <c r="F15" s="1" t="s">
        <v>41</v>
      </c>
      <c r="G15" s="1" t="s">
        <v>23</v>
      </c>
      <c r="H15" s="4">
        <v>4500</v>
      </c>
      <c r="I15" s="4">
        <v>780</v>
      </c>
      <c r="J15" s="5">
        <f>I15/H15</f>
        <v>0.17333333333333334</v>
      </c>
    </row>
    <row r="16" spans="2:10" x14ac:dyDescent="0.25">
      <c r="B16" s="3">
        <v>45078</v>
      </c>
      <c r="C16" s="1" t="s">
        <v>42</v>
      </c>
      <c r="D16" s="1" t="s">
        <v>43</v>
      </c>
      <c r="E16" s="6" t="str">
        <f>TRIM(PROPER(D16))</f>
        <v>Lucia Mckay</v>
      </c>
      <c r="F16" s="1" t="s">
        <v>41</v>
      </c>
      <c r="G16" s="1" t="s">
        <v>32</v>
      </c>
      <c r="H16" s="4">
        <v>0</v>
      </c>
      <c r="I16" s="4">
        <v>1044</v>
      </c>
      <c r="J16" s="5">
        <f>IFERROR(0.3,0)</f>
        <v>0.3</v>
      </c>
    </row>
    <row r="17" spans="2:10" x14ac:dyDescent="0.25">
      <c r="B17" s="3">
        <v>45078</v>
      </c>
      <c r="C17" s="1" t="s">
        <v>44</v>
      </c>
      <c r="D17" s="1" t="s">
        <v>45</v>
      </c>
      <c r="E17" s="6" t="str">
        <f>TRIM(PROPER(D17))</f>
        <v>Jose Roach</v>
      </c>
      <c r="F17" s="1" t="s">
        <v>41</v>
      </c>
      <c r="G17" s="1" t="s">
        <v>11</v>
      </c>
      <c r="H17" s="4">
        <v>3712.5</v>
      </c>
      <c r="I17" s="4">
        <v>1222</v>
      </c>
      <c r="J17" s="5">
        <f>I17/H17</f>
        <v>0.32915824915824915</v>
      </c>
    </row>
    <row r="18" spans="2:10" x14ac:dyDescent="0.25">
      <c r="B18" s="3">
        <v>45078</v>
      </c>
      <c r="C18" s="1" t="s">
        <v>46</v>
      </c>
      <c r="D18" s="1" t="s">
        <v>47</v>
      </c>
      <c r="E18" s="6" t="str">
        <f>TRIM(PROPER(D18))</f>
        <v>Franklin Wrigt</v>
      </c>
      <c r="F18" s="1" t="s">
        <v>41</v>
      </c>
      <c r="G18" s="1" t="s">
        <v>11</v>
      </c>
      <c r="H18" s="4">
        <v>4950</v>
      </c>
      <c r="I18" s="4">
        <v>1065</v>
      </c>
      <c r="J18" s="5">
        <f>I18/H18</f>
        <v>0.21515151515151515</v>
      </c>
    </row>
    <row r="19" spans="2:10" x14ac:dyDescent="0.25">
      <c r="B19" s="3">
        <v>45078</v>
      </c>
      <c r="C19" s="1" t="s">
        <v>48</v>
      </c>
      <c r="D19" s="1" t="s">
        <v>49</v>
      </c>
      <c r="E19" s="6" t="str">
        <f>TRIM(PROPER(D19))</f>
        <v>Alia Thornton</v>
      </c>
      <c r="F19" s="1" t="s">
        <v>20</v>
      </c>
      <c r="G19" s="1" t="s">
        <v>11</v>
      </c>
      <c r="H19" s="4">
        <v>4750</v>
      </c>
      <c r="I19" s="4">
        <v>810</v>
      </c>
      <c r="J19" s="5">
        <f>I19/H19</f>
        <v>0.17052631578947369</v>
      </c>
    </row>
    <row r="20" spans="2:10" x14ac:dyDescent="0.25">
      <c r="B20" s="3">
        <v>45078</v>
      </c>
      <c r="C20" s="1" t="s">
        <v>50</v>
      </c>
      <c r="D20" s="1" t="s">
        <v>51</v>
      </c>
      <c r="E20" s="6" t="str">
        <f>TRIM(PROPER(D20))</f>
        <v>Denzel Flores</v>
      </c>
      <c r="F20" s="1" t="s">
        <v>20</v>
      </c>
      <c r="G20" s="1" t="s">
        <v>11</v>
      </c>
      <c r="H20" s="4">
        <v>7320</v>
      </c>
      <c r="I20" s="4">
        <v>933</v>
      </c>
      <c r="J20" s="5">
        <f>I20/H20</f>
        <v>0.12745901639344262</v>
      </c>
    </row>
    <row r="21" spans="2:10" x14ac:dyDescent="0.25">
      <c r="B21" s="3">
        <v>45078</v>
      </c>
      <c r="C21" s="1" t="s">
        <v>52</v>
      </c>
      <c r="D21" s="1" t="s">
        <v>53</v>
      </c>
      <c r="E21" s="6" t="str">
        <f>TRIM(PROPER(D21))</f>
        <v>Bruno Cordova</v>
      </c>
      <c r="F21" s="1" t="s">
        <v>41</v>
      </c>
      <c r="G21" s="1" t="s">
        <v>11</v>
      </c>
      <c r="H21" s="4">
        <v>5087.5</v>
      </c>
      <c r="I21" s="4">
        <v>655</v>
      </c>
      <c r="J21" s="5">
        <f>I21/H21</f>
        <v>0.12874692874692875</v>
      </c>
    </row>
    <row r="22" spans="2:10" x14ac:dyDescent="0.25">
      <c r="B22" s="3">
        <v>45078</v>
      </c>
      <c r="C22" s="1" t="s">
        <v>54</v>
      </c>
      <c r="D22" s="1" t="s">
        <v>55</v>
      </c>
      <c r="E22" s="6" t="str">
        <f>TRIM(PROPER(D22))</f>
        <v>Jaylynn Napp</v>
      </c>
      <c r="F22" s="1" t="s">
        <v>41</v>
      </c>
      <c r="G22" s="1" t="s">
        <v>11</v>
      </c>
      <c r="H22" s="4">
        <v>4500</v>
      </c>
      <c r="I22" s="4">
        <v>722</v>
      </c>
      <c r="J22" s="5">
        <f>I22/H22</f>
        <v>0.16044444444444445</v>
      </c>
    </row>
    <row r="23" spans="2:10" x14ac:dyDescent="0.25">
      <c r="B23" s="3">
        <v>45078</v>
      </c>
      <c r="C23" s="1" t="s">
        <v>56</v>
      </c>
      <c r="D23" s="1" t="s">
        <v>57</v>
      </c>
      <c r="E23" s="6" t="str">
        <f>TRIM(PROPER(D23))</f>
        <v>Bruce Rich</v>
      </c>
      <c r="F23" s="1" t="s">
        <v>41</v>
      </c>
      <c r="G23" s="1" t="s">
        <v>32</v>
      </c>
      <c r="H23" s="4">
        <v>4250</v>
      </c>
      <c r="I23" s="4">
        <v>901</v>
      </c>
      <c r="J23" s="5">
        <f>I23/H23</f>
        <v>0.21199999999999999</v>
      </c>
    </row>
    <row r="24" spans="2:10" x14ac:dyDescent="0.25">
      <c r="B24" s="3">
        <v>45079</v>
      </c>
      <c r="C24" s="1" t="s">
        <v>58</v>
      </c>
      <c r="D24" s="1" t="s">
        <v>59</v>
      </c>
      <c r="E24" s="6" t="str">
        <f>TRIM(PROPER(D24))</f>
        <v>Arturo Moore</v>
      </c>
      <c r="F24" s="1" t="s">
        <v>41</v>
      </c>
      <c r="G24" s="1" t="s">
        <v>15</v>
      </c>
      <c r="H24" s="4">
        <v>5250</v>
      </c>
      <c r="I24" s="4">
        <v>1349</v>
      </c>
      <c r="J24" s="5">
        <f>I24/H24</f>
        <v>0.25695238095238093</v>
      </c>
    </row>
    <row r="25" spans="2:10" x14ac:dyDescent="0.25">
      <c r="B25" s="3">
        <v>45079</v>
      </c>
      <c r="C25" s="1" t="s">
        <v>60</v>
      </c>
      <c r="D25" s="1" t="s">
        <v>61</v>
      </c>
      <c r="E25" s="6" t="str">
        <f>TRIM(PROPER(D25))</f>
        <v>Bryce Carpenter</v>
      </c>
      <c r="F25" s="1" t="s">
        <v>14</v>
      </c>
      <c r="G25" s="1" t="s">
        <v>15</v>
      </c>
      <c r="H25" s="4">
        <v>6500</v>
      </c>
      <c r="I25" s="4">
        <v>1288</v>
      </c>
      <c r="J25" s="5">
        <f>I25/H25</f>
        <v>0.19815384615384615</v>
      </c>
    </row>
    <row r="26" spans="2:10" x14ac:dyDescent="0.25">
      <c r="B26" s="3">
        <v>45079</v>
      </c>
      <c r="C26" s="1" t="s">
        <v>62</v>
      </c>
      <c r="D26" s="1" t="s">
        <v>63</v>
      </c>
      <c r="E26" s="6" t="str">
        <f>TRIM(PROPER(D26))</f>
        <v>Jaidyn Andersen</v>
      </c>
      <c r="F26" s="1" t="s">
        <v>14</v>
      </c>
      <c r="G26" s="1" t="s">
        <v>15</v>
      </c>
      <c r="H26" s="4">
        <v>7500</v>
      </c>
      <c r="I26" s="4">
        <v>1664</v>
      </c>
      <c r="J26" s="5">
        <f>I26/H26</f>
        <v>0.22186666666666666</v>
      </c>
    </row>
    <row r="27" spans="2:10" x14ac:dyDescent="0.25">
      <c r="B27" s="3">
        <v>45079</v>
      </c>
      <c r="C27" s="1" t="s">
        <v>64</v>
      </c>
      <c r="D27" s="1" t="s">
        <v>65</v>
      </c>
      <c r="E27" s="6" t="str">
        <f>TRIM(PROPER(D27))</f>
        <v>Mark Walm</v>
      </c>
      <c r="F27" s="1" t="s">
        <v>14</v>
      </c>
      <c r="G27" s="1" t="s">
        <v>11</v>
      </c>
      <c r="H27" s="4">
        <v>5500</v>
      </c>
      <c r="I27" s="4">
        <v>1320</v>
      </c>
      <c r="J27" s="5">
        <f>I27/H27</f>
        <v>0.24</v>
      </c>
    </row>
    <row r="28" spans="2:10" x14ac:dyDescent="0.25">
      <c r="B28" s="3">
        <v>45079</v>
      </c>
      <c r="C28" s="1" t="s">
        <v>66</v>
      </c>
      <c r="D28" s="1" t="s">
        <v>67</v>
      </c>
      <c r="E28" s="6" t="str">
        <f>TRIM(PROPER(D28))</f>
        <v>Harry Lee</v>
      </c>
      <c r="F28" s="1" t="s">
        <v>14</v>
      </c>
      <c r="G28" s="1" t="s">
        <v>11</v>
      </c>
      <c r="H28" s="4">
        <v>4625</v>
      </c>
      <c r="I28" s="4">
        <v>1001</v>
      </c>
      <c r="J28" s="5">
        <f>I28/H28</f>
        <v>0.21643243243243243</v>
      </c>
    </row>
    <row r="29" spans="2:10" x14ac:dyDescent="0.25">
      <c r="B29" s="3">
        <v>45079</v>
      </c>
      <c r="C29" s="1" t="s">
        <v>68</v>
      </c>
      <c r="D29" s="1" t="s">
        <v>69</v>
      </c>
      <c r="E29" s="6" t="str">
        <f>TRIM(PROPER(D29))</f>
        <v>Josh Johnson</v>
      </c>
      <c r="F29" s="1" t="s">
        <v>14</v>
      </c>
      <c r="G29" s="1" t="s">
        <v>11</v>
      </c>
      <c r="H29" s="4">
        <v>4500</v>
      </c>
      <c r="I29" s="4">
        <v>960</v>
      </c>
      <c r="J29" s="5">
        <f>I29/H29</f>
        <v>0.21333333333333335</v>
      </c>
    </row>
    <row r="30" spans="2:10" x14ac:dyDescent="0.25">
      <c r="B30" s="3">
        <v>45079</v>
      </c>
      <c r="C30" s="1" t="s">
        <v>70</v>
      </c>
      <c r="D30" s="1" t="s">
        <v>71</v>
      </c>
      <c r="E30" s="6" t="str">
        <f>TRIM(PROPER(D30))</f>
        <v>Mik Naam</v>
      </c>
      <c r="F30" s="1" t="s">
        <v>14</v>
      </c>
      <c r="G30" s="1" t="s">
        <v>32</v>
      </c>
      <c r="H30" s="4">
        <v>5400</v>
      </c>
      <c r="I30" s="4">
        <v>540</v>
      </c>
      <c r="J30" s="5">
        <f>I30/H30</f>
        <v>0.1</v>
      </c>
    </row>
    <row r="34" spans="5:8" x14ac:dyDescent="0.25">
      <c r="E34" s="1"/>
      <c r="H34" s="4"/>
    </row>
    <row r="35" spans="5:8" x14ac:dyDescent="0.25">
      <c r="E35" s="1"/>
      <c r="H35" s="4"/>
    </row>
    <row r="36" spans="5:8" x14ac:dyDescent="0.25">
      <c r="H36" s="4"/>
    </row>
    <row r="37" spans="5:8" x14ac:dyDescent="0.25">
      <c r="H37" s="4"/>
    </row>
    <row r="38" spans="5:8" x14ac:dyDescent="0.25">
      <c r="H38" s="4"/>
    </row>
    <row r="39" spans="5:8" x14ac:dyDescent="0.25">
      <c r="H39" s="4"/>
    </row>
    <row r="40" spans="5:8" x14ac:dyDescent="0.25">
      <c r="H40" s="4"/>
    </row>
    <row r="41" spans="5:8" x14ac:dyDescent="0.25">
      <c r="H41" s="4"/>
    </row>
    <row r="42" spans="5:8" x14ac:dyDescent="0.25">
      <c r="H42" s="4"/>
    </row>
  </sheetData>
  <pageMargins left="0.7" right="0.7" top="0.75" bottom="0.75" header="0" footer="0"/>
  <pageSetup orientation="landscape"/>
  <ignoredErrors>
    <ignoredError sqref="J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dept</dc:creator>
  <cp:lastModifiedBy>cs dept</cp:lastModifiedBy>
  <dcterms:created xsi:type="dcterms:W3CDTF">2026-10-03T09:18:22Z</dcterms:created>
  <dcterms:modified xsi:type="dcterms:W3CDTF">2026-10-03T09:18:22Z</dcterms:modified>
</cp:coreProperties>
</file>