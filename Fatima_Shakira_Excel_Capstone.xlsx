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New folder\"/>
    </mc:Choice>
  </mc:AlternateContent>
  <xr:revisionPtr revIDLastSave="0" documentId="8_{01168827-0CEF-4E18-9FB9-8D79FBB8D8CC}" xr6:coauthVersionLast="47" xr6:coauthVersionMax="47" xr10:uidLastSave="{00000000-0000-0000-0000-000000000000}"/>
  <workbookProtection lockStructure="1"/>
  <bookViews>
    <workbookView xWindow="-110" yWindow="-110" windowWidth="19420" windowHeight="10300" firstSheet="2" activeTab="5" xr2:uid="{ED268ABD-9C5F-4C84-9C4B-C8968E63EFD2}"/>
  </bookViews>
  <sheets>
    <sheet name="Raw_Orders" sheetId="1" r:id="rId1"/>
    <sheet name="Master_Customers" sheetId="2" r:id="rId2"/>
    <sheet name="Product_Catalog" sheetId="3" r:id="rId3"/>
    <sheet name="Clean_Data_Warehouse" sheetId="4" r:id="rId4"/>
    <sheet name="Pivot_Analysis" sheetId="5" r:id="rId5"/>
    <sheet name="Executive_Dashboard" sheetId="6" r:id="rId6"/>
  </sheets>
  <definedNames>
    <definedName name="_xlcn.WorksheetConnection_Book1.xlsxWarehousetable" hidden="1">Warehousetable[]</definedName>
    <definedName name="ExternalData_1" localSheetId="3" hidden="1">Clean_Data_Warehouse!$A$1:$G$8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table_4c444bd6-38e7-400d-a907-8ad6bb0b92e4" name="Orderstable" connection="Query - Orderstable"/>
          <x15:modelTable id="Customertable_e6f05033-5a94-4b15-b281-c4f0af0eed78" name="Customertable" connection="Query - Customertable"/>
          <x15:modelTable id="Producttable_8e771dd8-69cb-4f33-bc36-472eace363b3" name="Producttable" connection="Query - Producttable"/>
          <x15:modelTable id="Warehousetable" name="Warehousetable" connection="WorksheetConnection_Book1.xlsx!Warehouse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4" l="1"/>
  <c r="J8" i="4"/>
  <c r="I2" i="4"/>
  <c r="J2" i="4" s="1"/>
  <c r="I3" i="4"/>
  <c r="J3" i="4" s="1"/>
  <c r="I4" i="4"/>
  <c r="J4" i="4" s="1"/>
  <c r="I5" i="4"/>
  <c r="J5" i="4" s="1"/>
  <c r="I6" i="4"/>
  <c r="J6" i="4" s="1"/>
  <c r="I7" i="4"/>
  <c r="I8" i="4"/>
  <c r="H2" i="4"/>
  <c r="H3" i="4"/>
  <c r="H4" i="4"/>
  <c r="H5" i="4"/>
  <c r="H6" i="4"/>
  <c r="H7" i="4"/>
  <c r="H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FA318E-CF54-42D2-B1D0-7BE1B88D0A1D}" keepAlive="1" name="ModelConnection_ExternalData_1" description="Data Model" type="5" refreshedVersion="8" minRefreshableVersion="5" saveData="1">
    <dbPr connection="Data Model Connection" command="Orderstabl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B20D73C-C3A2-401F-AF8C-939270ED5E13}" name="Query - Customertable" description="Connection to the 'Customertable' query in the workbook." type="100" refreshedVersion="8" minRefreshableVersion="5">
    <extLst>
      <ext xmlns:x15="http://schemas.microsoft.com/office/spreadsheetml/2010/11/main" uri="{DE250136-89BD-433C-8126-D09CA5730AF9}">
        <x15:connection id="e4ccd5aa-60da-406e-800b-270bc46bdfd7">
          <x15:oledbPr connection="Provider=Microsoft.Mashup.OleDb.1;Data Source=$Workbook$;Location=Customertable;Extended Properties=&quot;&quot;">
            <x15:dbTables>
              <x15:dbTable name="Customertable"/>
            </x15:dbTables>
          </x15:oledbPr>
        </x15:connection>
      </ext>
    </extLst>
  </connection>
  <connection id="3" xr16:uid="{2A117197-DCCD-42B5-A0F3-64557FC8A0E0}" name="Query - Orderstable" description="Connection to the 'Orderstable' query in the workbook." type="100" refreshedVersion="8" minRefreshableVersion="5">
    <extLst>
      <ext xmlns:x15="http://schemas.microsoft.com/office/spreadsheetml/2010/11/main" uri="{DE250136-89BD-433C-8126-D09CA5730AF9}">
        <x15:connection id="da6ae0df-3d48-4834-9220-ec212bc1e28b"/>
      </ext>
    </extLst>
  </connection>
  <connection id="4" xr16:uid="{4766C0E0-D2BD-47D0-8160-CF2B0FC4D7B2}" name="Query - Producttable" description="Connection to the 'Producttable' query in the workbook." type="100" refreshedVersion="8" minRefreshableVersion="5">
    <extLst>
      <ext xmlns:x15="http://schemas.microsoft.com/office/spreadsheetml/2010/11/main" uri="{DE250136-89BD-433C-8126-D09CA5730AF9}">
        <x15:connection id="f08d75b5-ba0d-4656-a082-fe6e894961d4">
          <x15:oledbPr connection="Provider=Microsoft.Mashup.OleDb.1;Data Source=$Workbook$;Location=Producttable;Extended Properties=&quot;&quot;">
            <x15:dbTables>
              <x15:dbTable name="Producttable"/>
            </x15:dbTables>
          </x15:oledbPr>
        </x15:connection>
      </ext>
    </extLst>
  </connection>
  <connection id="5" xr16:uid="{1E4D3429-5039-44F3-A6DA-3680DAD6557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85F47CDF-6D2F-4D31-A7E0-660566C1CEEB}" name="WorksheetConnection_Book1.xlsx!Warehousetable" type="102" refreshedVersion="8" minRefreshableVersion="5">
    <extLst>
      <ext xmlns:x15="http://schemas.microsoft.com/office/spreadsheetml/2010/11/main" uri="{DE250136-89BD-433C-8126-D09CA5730AF9}">
        <x15:connection id="Warehousetable" autoDelete="1">
          <x15:rangePr sourceName="_xlcn.WorksheetConnection_Book1.xlsxWarehousetable"/>
        </x15:connection>
      </ext>
    </extLst>
  </connection>
</connections>
</file>

<file path=xl/sharedStrings.xml><?xml version="1.0" encoding="utf-8"?>
<sst xmlns="http://schemas.openxmlformats.org/spreadsheetml/2006/main" count="119" uniqueCount="47">
  <si>
    <t>Order_ID</t>
  </si>
  <si>
    <t>Customer_ID</t>
  </si>
  <si>
    <t>Product_Code</t>
  </si>
  <si>
    <t>Units_Sold</t>
  </si>
  <si>
    <t>TXN-101</t>
  </si>
  <si>
    <t>C-901</t>
  </si>
  <si>
    <t>PROD-9921-X</t>
  </si>
  <si>
    <t>TXN-102</t>
  </si>
  <si>
    <t>C-904</t>
  </si>
  <si>
    <t>PROD-4012-M</t>
  </si>
  <si>
    <t>TXN-103</t>
  </si>
  <si>
    <t>C-902</t>
  </si>
  <si>
    <t>TXN-104</t>
  </si>
  <si>
    <t>PROD-8815-S</t>
  </si>
  <si>
    <t>TXN-105</t>
  </si>
  <si>
    <t>C-903</t>
  </si>
  <si>
    <t>TXN-106</t>
  </si>
  <si>
    <t>TXN-107</t>
  </si>
  <si>
    <t>C-905</t>
  </si>
  <si>
    <t>Customer_Name</t>
  </si>
  <si>
    <t>Region</t>
  </si>
  <si>
    <t>Acme Retail</t>
  </si>
  <si>
    <t>North</t>
  </si>
  <si>
    <t>Nexus Logistics</t>
  </si>
  <si>
    <t>West</t>
  </si>
  <si>
    <t>Apex Systems</t>
  </si>
  <si>
    <t>East</t>
  </si>
  <si>
    <t>Beacon Tech</t>
  </si>
  <si>
    <t>South</t>
  </si>
  <si>
    <t>Horizon Group</t>
  </si>
  <si>
    <t>Base_Price</t>
  </si>
  <si>
    <t>Customertable.Customer_Name</t>
  </si>
  <si>
    <t>Customertable.Region</t>
  </si>
  <si>
    <t>Producttable.Base_Price</t>
  </si>
  <si>
    <t>Product_Type</t>
  </si>
  <si>
    <t>Gross_Revenue</t>
  </si>
  <si>
    <t>Order_Tier</t>
  </si>
  <si>
    <t>Row Labels</t>
  </si>
  <si>
    <t>Grand Total</t>
  </si>
  <si>
    <t>Column Labels</t>
  </si>
  <si>
    <t>High-Value</t>
  </si>
  <si>
    <t>Low-Value</t>
  </si>
  <si>
    <t>Standard</t>
  </si>
  <si>
    <t>Sum of Gross_Revenue</t>
  </si>
  <si>
    <t>Sum of Units_Sold</t>
  </si>
  <si>
    <t>Count of Order_Tier</t>
  </si>
  <si>
    <r>
      <t xml:space="preserve">RETAIL BUISNESS </t>
    </r>
    <r>
      <rPr>
        <b/>
        <sz val="24"/>
        <color theme="1" tint="0.14999847407452621"/>
        <rFont val="Calibri"/>
        <family val="2"/>
        <scheme val="minor"/>
      </rPr>
      <t>PERFORMANCE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</si>
</sst>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theme="1"/>
      <name val="Arial"/>
      <family val="2"/>
    </font>
    <font>
      <sz val="9.75"/>
      <color theme="1"/>
      <name val="Arial"/>
      <family val="2"/>
    </font>
    <font>
      <b/>
      <sz val="24"/>
      <color theme="1"/>
      <name val="Calibri"/>
      <family val="2"/>
      <scheme val="minor"/>
    </font>
    <font>
      <b/>
      <sz val="24"/>
      <color theme="1" tint="0.1499984740745262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4" borderId="0" xfId="0" applyFont="1" applyFill="1"/>
    <xf numFmtId="0" fontId="0" fillId="3" borderId="0" xfId="0" applyFill="1"/>
  </cellXfs>
  <cellStyles count="1">
    <cellStyle name="Normal" xfId="0" builtinId="0"/>
  </cellStyles>
  <dxfs count="28">
    <dxf>
      <fill>
        <patternFill>
          <bgColor theme="9" tint="0.79998168889431442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/>
      </font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[Fatima_Shakira_Excel_Capstone.xlsx]Pivot_Analysis!PivotTable1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chemeClr val="accent1">
                    <a:lumMod val="50000"/>
                  </a:schemeClr>
                </a:solidFill>
              </a:rPr>
              <a:t>REVENUE</a:t>
            </a:r>
            <a:r>
              <a:rPr lang="en-US" sz="2800" b="1" baseline="0">
                <a:solidFill>
                  <a:schemeClr val="accent1">
                    <a:lumMod val="50000"/>
                  </a:schemeClr>
                </a:solidFill>
              </a:rPr>
              <a:t> PERFORMANCE BY REGION</a:t>
            </a:r>
            <a:endParaRPr lang="en-US" sz="2800" b="1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487051618547683"/>
          <c:y val="0.30592373869932932"/>
          <c:w val="0.85068503937007878"/>
          <c:h val="0.483214129483814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Pivot_Analysis!$A$4:$A$7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Pivot_Analysis!$B$4:$B$7</c:f>
              <c:numCache>
                <c:formatCode>General</c:formatCode>
                <c:ptCount val="4"/>
                <c:pt idx="0">
                  <c:v>45</c:v>
                </c:pt>
                <c:pt idx="1">
                  <c:v>1430</c:v>
                </c:pt>
                <c:pt idx="2">
                  <c:v>540</c:v>
                </c:pt>
                <c:pt idx="3">
                  <c:v>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9-4720-902A-9599A13A8A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92940543"/>
        <c:axId val="218699103"/>
      </c:barChart>
      <c:catAx>
        <c:axId val="292940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699103"/>
        <c:crosses val="autoZero"/>
        <c:auto val="1"/>
        <c:lblAlgn val="ctr"/>
        <c:lblOffset val="100"/>
        <c:noMultiLvlLbl val="0"/>
      </c:catAx>
      <c:valAx>
        <c:axId val="2186991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94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chart" Target="../charts/chart1.xml"/><Relationship Id="rId7" Type="http://schemas.openxmlformats.org/officeDocument/2006/relationships/image" Target="../media/image6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9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177426</xdr:colOff>
      <xdr:row>3</xdr:row>
      <xdr:rowOff>168089</xdr:rowOff>
    </xdr:from>
    <xdr:to>
      <xdr:col>4</xdr:col>
      <xdr:colOff>364191</xdr:colOff>
      <xdr:row>7</xdr:row>
      <xdr:rowOff>158750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351BAA9-DB6B-72A4-AC3B-03C806BBFCB6}"/>
            </a:ext>
          </a:extLst>
        </xdr:cNvPr>
        <xdr:cNvSpPr txBox="1"/>
      </xdr:nvSpPr>
      <xdr:spPr>
        <a:xfrm>
          <a:off x="1391397" y="999192"/>
          <a:ext cx="1400735" cy="73772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accent1">
                  <a:lumMod val="75000"/>
                </a:schemeClr>
              </a:solidFill>
            </a:rPr>
            <a:t>TOTAL</a:t>
          </a:r>
          <a:r>
            <a:rPr lang="en-US" sz="2000" b="1" baseline="0">
              <a:solidFill>
                <a:schemeClr val="accent1">
                  <a:lumMod val="75000"/>
                </a:schemeClr>
              </a:solidFill>
            </a:rPr>
            <a:t> REVENUE</a:t>
          </a:r>
          <a:endParaRPr lang="en-US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4</xdr:col>
      <xdr:colOff>30064</xdr:colOff>
      <xdr:row>0</xdr:row>
      <xdr:rowOff>6479</xdr:rowOff>
    </xdr:from>
    <xdr:to>
      <xdr:col>5</xdr:col>
      <xdr:colOff>271364</xdr:colOff>
      <xdr:row>2</xdr:row>
      <xdr:rowOff>148295</xdr:rowOff>
    </xdr:to>
    <xdr:pic>
      <xdr:nvPicPr>
        <xdr:cNvPr id="3" name="Graphic 2" descr="Daily calendar with solid fill">
          <a:extLst>
            <a:ext uri="{FF2B5EF4-FFF2-40B4-BE49-F238E27FC236}">
              <a16:creationId xmlns:a16="http://schemas.microsoft.com/office/drawing/2014/main" id="{B2E2163B-6E36-C176-7AF0-F694DE9CC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66391" y="6479"/>
          <a:ext cx="850381" cy="718500"/>
        </a:xfrm>
        <a:prstGeom prst="rect">
          <a:avLst/>
        </a:prstGeom>
      </xdr:spPr>
    </xdr:pic>
    <xdr:clientData/>
  </xdr:twoCellAnchor>
  <xdr:twoCellAnchor>
    <xdr:from>
      <xdr:col>0</xdr:col>
      <xdr:colOff>455332</xdr:colOff>
      <xdr:row>3</xdr:row>
      <xdr:rowOff>88900</xdr:rowOff>
    </xdr:from>
    <xdr:to>
      <xdr:col>6</xdr:col>
      <xdr:colOff>239432</xdr:colOff>
      <xdr:row>8</xdr:row>
      <xdr:rowOff>19050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93E2A22-22D2-C48D-B452-77E968FE2C1D}"/>
            </a:ext>
          </a:extLst>
        </xdr:cNvPr>
        <xdr:cNvSpPr/>
      </xdr:nvSpPr>
      <xdr:spPr>
        <a:xfrm>
          <a:off x="455332" y="920003"/>
          <a:ext cx="3426012" cy="863973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64060</xdr:colOff>
      <xdr:row>3</xdr:row>
      <xdr:rowOff>79562</xdr:rowOff>
    </xdr:from>
    <xdr:to>
      <xdr:col>12</xdr:col>
      <xdr:colOff>455145</xdr:colOff>
      <xdr:row>8</xdr:row>
      <xdr:rowOff>9712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DB8C73D-9596-4FCC-A3AA-21F77B36224D}"/>
            </a:ext>
          </a:extLst>
        </xdr:cNvPr>
        <xdr:cNvSpPr/>
      </xdr:nvSpPr>
      <xdr:spPr>
        <a:xfrm>
          <a:off x="4312957" y="910665"/>
          <a:ext cx="3426012" cy="863973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165100</xdr:colOff>
      <xdr:row>3</xdr:row>
      <xdr:rowOff>88900</xdr:rowOff>
    </xdr:from>
    <xdr:to>
      <xdr:col>18</xdr:col>
      <xdr:colOff>599722</xdr:colOff>
      <xdr:row>8</xdr:row>
      <xdr:rowOff>19050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4AD16B3-DFF1-460C-9147-35539AB3F45E}"/>
            </a:ext>
          </a:extLst>
        </xdr:cNvPr>
        <xdr:cNvSpPr/>
      </xdr:nvSpPr>
      <xdr:spPr>
        <a:xfrm>
          <a:off x="8076142" y="856192"/>
          <a:ext cx="3477330" cy="856191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9</xdr:row>
      <xdr:rowOff>0</xdr:rowOff>
    </xdr:from>
    <xdr:to>
      <xdr:col>18</xdr:col>
      <xdr:colOff>431800</xdr:colOff>
      <xdr:row>23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B7F9A96-43A6-4E99-B6EA-8CC031C0A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266513</xdr:colOff>
      <xdr:row>3</xdr:row>
      <xdr:rowOff>170703</xdr:rowOff>
    </xdr:from>
    <xdr:to>
      <xdr:col>11</xdr:col>
      <xdr:colOff>205441</xdr:colOff>
      <xdr:row>7</xdr:row>
      <xdr:rowOff>168088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D66A46F-A742-40F3-AF25-F11CEACF0193}"/>
            </a:ext>
          </a:extLst>
        </xdr:cNvPr>
        <xdr:cNvSpPr txBox="1"/>
      </xdr:nvSpPr>
      <xdr:spPr>
        <a:xfrm>
          <a:off x="5122395" y="1001806"/>
          <a:ext cx="1759884" cy="74444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ln>
                <a:noFill/>
              </a:ln>
              <a:solidFill>
                <a:schemeClr val="accent1">
                  <a:lumMod val="75000"/>
                </a:schemeClr>
              </a:solidFill>
            </a:rPr>
            <a:t>TOTAL</a:t>
          </a:r>
          <a:r>
            <a:rPr lang="en-US" sz="2000" b="1" baseline="0">
              <a:solidFill>
                <a:schemeClr val="accent1">
                  <a:lumMod val="75000"/>
                </a:schemeClr>
              </a:solidFill>
            </a:rPr>
            <a:t> UNITS SOLD</a:t>
          </a:r>
          <a:endParaRPr lang="en-US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336176</xdr:colOff>
      <xdr:row>4</xdr:row>
      <xdr:rowOff>74707</xdr:rowOff>
    </xdr:from>
    <xdr:to>
      <xdr:col>6</xdr:col>
      <xdr:colOff>205442</xdr:colOff>
      <xdr:row>7</xdr:row>
      <xdr:rowOff>121398</xdr:rowOff>
    </xdr:to>
    <xdr:sp macro="" textlink="Pivot_Analysis!$B$17">
      <xdr:nvSpPr>
        <xdr:cNvPr id="2" name="TextBox 1">
          <a:extLst>
            <a:ext uri="{FF2B5EF4-FFF2-40B4-BE49-F238E27FC236}">
              <a16:creationId xmlns:a16="http://schemas.microsoft.com/office/drawing/2014/main" id="{B9CD26FB-BD22-31DB-4EB2-57C405E9B5E5}"/>
            </a:ext>
          </a:extLst>
        </xdr:cNvPr>
        <xdr:cNvSpPr txBox="1"/>
      </xdr:nvSpPr>
      <xdr:spPr>
        <a:xfrm>
          <a:off x="2764117" y="1092575"/>
          <a:ext cx="1083237" cy="60698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5F34408-E035-41FE-BBA0-BE410040AB0B}" type="TxLink">
            <a:rPr lang="en-US" sz="2800" b="1" i="0" u="none" strike="noStrike">
              <a:ln>
                <a:noFill/>
              </a:ln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4190</a:t>
          </a:fld>
          <a:endParaRPr lang="en-US" sz="2800" b="1">
            <a:ln>
              <a:noFill/>
            </a:ln>
          </a:endParaRPr>
        </a:p>
      </xdr:txBody>
    </xdr:sp>
    <xdr:clientData/>
  </xdr:twoCellAnchor>
  <xdr:twoCellAnchor>
    <xdr:from>
      <xdr:col>11</xdr:col>
      <xdr:colOff>168088</xdr:colOff>
      <xdr:row>4</xdr:row>
      <xdr:rowOff>65368</xdr:rowOff>
    </xdr:from>
    <xdr:to>
      <xdr:col>12</xdr:col>
      <xdr:colOff>233455</xdr:colOff>
      <xdr:row>6</xdr:row>
      <xdr:rowOff>177427</xdr:rowOff>
    </xdr:to>
    <xdr:sp macro="" textlink="Pivot_Analysis!A17">
      <xdr:nvSpPr>
        <xdr:cNvPr id="5" name="TextBox 4">
          <a:extLst>
            <a:ext uri="{FF2B5EF4-FFF2-40B4-BE49-F238E27FC236}">
              <a16:creationId xmlns:a16="http://schemas.microsoft.com/office/drawing/2014/main" id="{6AE185E4-980F-5B0D-AD86-5BBE58121A57}"/>
            </a:ext>
          </a:extLst>
        </xdr:cNvPr>
        <xdr:cNvSpPr txBox="1"/>
      </xdr:nvSpPr>
      <xdr:spPr>
        <a:xfrm>
          <a:off x="6844926" y="1083236"/>
          <a:ext cx="672353" cy="485588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9FE54F0-56B8-4BDE-9835-A7654BEB3FE2}" type="TxLink">
            <a:rPr lang="en-US" sz="2800" b="1" i="0" u="none" strike="noStrike">
              <a:ln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latin typeface="Calibri"/>
              <a:ea typeface="Calibri"/>
              <a:cs typeface="Calibri"/>
            </a:rPr>
            <a:pPr/>
            <a:t>47</a:t>
          </a:fld>
          <a:endParaRPr lang="en-US" sz="2800" b="1">
            <a:ln>
              <a:noFill/>
            </a:ln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18</xdr:col>
      <xdr:colOff>80932</xdr:colOff>
      <xdr:row>4</xdr:row>
      <xdr:rowOff>65367</xdr:rowOff>
    </xdr:from>
    <xdr:to>
      <xdr:col>18</xdr:col>
      <xdr:colOff>502710</xdr:colOff>
      <xdr:row>6</xdr:row>
      <xdr:rowOff>97013</xdr:rowOff>
    </xdr:to>
    <xdr:sp macro="" textlink="Pivot_Analysis!C17">
      <xdr:nvSpPr>
        <xdr:cNvPr id="6" name="TextBox 5">
          <a:extLst>
            <a:ext uri="{FF2B5EF4-FFF2-40B4-BE49-F238E27FC236}">
              <a16:creationId xmlns:a16="http://schemas.microsoft.com/office/drawing/2014/main" id="{6C5A5158-90A0-F231-BD27-6CD6F15762F1}"/>
            </a:ext>
          </a:extLst>
        </xdr:cNvPr>
        <xdr:cNvSpPr txBox="1"/>
      </xdr:nvSpPr>
      <xdr:spPr>
        <a:xfrm>
          <a:off x="11034682" y="1017867"/>
          <a:ext cx="421778" cy="402063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04B0AC8-BE82-46D2-B4E5-084299B886C9}" type="TxLink">
            <a:rPr lang="en-US" sz="2800" b="1" i="0" u="none" strike="noStrike">
              <a:solidFill>
                <a:schemeClr val="tx1">
                  <a:lumMod val="85000"/>
                  <a:lumOff val="15000"/>
                </a:schemeClr>
              </a:solidFill>
              <a:latin typeface="Calibri"/>
              <a:ea typeface="Calibri"/>
              <a:cs typeface="Calibri"/>
            </a:rPr>
            <a:pPr/>
            <a:t>7</a:t>
          </a:fld>
          <a:endParaRPr lang="en-US" sz="2800" b="1" i="0" u="none" strike="noStrike">
            <a:solidFill>
              <a:schemeClr val="tx1">
                <a:lumMod val="85000"/>
                <a:lumOff val="1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1</xdr:col>
      <xdr:colOff>84044</xdr:colOff>
      <xdr:row>3</xdr:row>
      <xdr:rowOff>93382</xdr:rowOff>
    </xdr:from>
    <xdr:to>
      <xdr:col>2</xdr:col>
      <xdr:colOff>308161</xdr:colOff>
      <xdr:row>7</xdr:row>
      <xdr:rowOff>177425</xdr:rowOff>
    </xdr:to>
    <xdr:pic>
      <xdr:nvPicPr>
        <xdr:cNvPr id="21" name="Graphic 20" descr="Business Growth with solid fill">
          <a:extLst>
            <a:ext uri="{FF2B5EF4-FFF2-40B4-BE49-F238E27FC236}">
              <a16:creationId xmlns:a16="http://schemas.microsoft.com/office/drawing/2014/main" id="{4ADF4FD9-7456-5223-4AE2-BB5E2FE3C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91029" y="924485"/>
          <a:ext cx="831103" cy="831103"/>
        </a:xfrm>
        <a:prstGeom prst="rect">
          <a:avLst/>
        </a:prstGeom>
      </xdr:spPr>
    </xdr:pic>
    <xdr:clientData/>
  </xdr:twoCellAnchor>
  <xdr:twoCellAnchor editAs="oneCell">
    <xdr:from>
      <xdr:col>13</xdr:col>
      <xdr:colOff>324245</xdr:colOff>
      <xdr:row>3</xdr:row>
      <xdr:rowOff>130218</xdr:rowOff>
    </xdr:from>
    <xdr:to>
      <xdr:col>14</xdr:col>
      <xdr:colOff>559259</xdr:colOff>
      <xdr:row>8</xdr:row>
      <xdr:rowOff>36836</xdr:rowOff>
    </xdr:to>
    <xdr:pic>
      <xdr:nvPicPr>
        <xdr:cNvPr id="23" name="Graphic 22" descr="Handshake with solid fill">
          <a:extLst>
            <a:ext uri="{FF2B5EF4-FFF2-40B4-BE49-F238E27FC236}">
              <a16:creationId xmlns:a16="http://schemas.microsoft.com/office/drawing/2014/main" id="{7B9FE5DE-1B94-1783-54E7-31083B75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235287" y="897510"/>
          <a:ext cx="843555" cy="832659"/>
        </a:xfrm>
        <a:prstGeom prst="rect">
          <a:avLst/>
        </a:prstGeom>
      </xdr:spPr>
    </xdr:pic>
    <xdr:clientData/>
  </xdr:twoCellAnchor>
  <xdr:twoCellAnchor editAs="oneCell">
    <xdr:from>
      <xdr:col>7</xdr:col>
      <xdr:colOff>233456</xdr:colOff>
      <xdr:row>3</xdr:row>
      <xdr:rowOff>130735</xdr:rowOff>
    </xdr:from>
    <xdr:to>
      <xdr:col>8</xdr:col>
      <xdr:colOff>438897</xdr:colOff>
      <xdr:row>8</xdr:row>
      <xdr:rowOff>9337</xdr:rowOff>
    </xdr:to>
    <xdr:pic>
      <xdr:nvPicPr>
        <xdr:cNvPr id="25" name="Graphic 24" descr="Meeting with solid fill">
          <a:extLst>
            <a:ext uri="{FF2B5EF4-FFF2-40B4-BE49-F238E27FC236}">
              <a16:creationId xmlns:a16="http://schemas.microsoft.com/office/drawing/2014/main" id="{C29A0026-5A89-278F-6386-2637A1019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482353" y="961838"/>
          <a:ext cx="812426" cy="812426"/>
        </a:xfrm>
        <a:prstGeom prst="rect">
          <a:avLst/>
        </a:prstGeom>
      </xdr:spPr>
    </xdr:pic>
    <xdr:clientData/>
  </xdr:twoCellAnchor>
  <xdr:twoCellAnchor>
    <xdr:from>
      <xdr:col>2</xdr:col>
      <xdr:colOff>335139</xdr:colOff>
      <xdr:row>3</xdr:row>
      <xdr:rowOff>123470</xdr:rowOff>
    </xdr:from>
    <xdr:to>
      <xdr:col>4</xdr:col>
      <xdr:colOff>405694</xdr:colOff>
      <xdr:row>7</xdr:row>
      <xdr:rowOff>141110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C162ADB-92B0-E70D-73D1-39837BE911A2}"/>
            </a:ext>
          </a:extLst>
        </xdr:cNvPr>
        <xdr:cNvSpPr txBox="1"/>
      </xdr:nvSpPr>
      <xdr:spPr>
        <a:xfrm>
          <a:off x="1552222" y="890762"/>
          <a:ext cx="1287639" cy="758473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accent1">
                  <a:lumMod val="75000"/>
                </a:schemeClr>
              </a:solidFill>
            </a:rPr>
            <a:t>TOTAL REVENUE</a:t>
          </a:r>
        </a:p>
      </xdr:txBody>
    </xdr:sp>
    <xdr:clientData/>
  </xdr:twoCellAnchor>
  <xdr:twoCellAnchor>
    <xdr:from>
      <xdr:col>15</xdr:col>
      <xdr:colOff>8819</xdr:colOff>
      <xdr:row>3</xdr:row>
      <xdr:rowOff>132291</xdr:rowOff>
    </xdr:from>
    <xdr:to>
      <xdr:col>18</xdr:col>
      <xdr:colOff>79375</xdr:colOff>
      <xdr:row>7</xdr:row>
      <xdr:rowOff>149931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1084FE6-D0C5-250E-9458-2DEF80892C95}"/>
            </a:ext>
          </a:extLst>
        </xdr:cNvPr>
        <xdr:cNvSpPr txBox="1"/>
      </xdr:nvSpPr>
      <xdr:spPr>
        <a:xfrm>
          <a:off x="9136944" y="899583"/>
          <a:ext cx="1896181" cy="758473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accent1">
                  <a:lumMod val="75000"/>
                </a:schemeClr>
              </a:solidFill>
            </a:rPr>
            <a:t>TOTAL ORDER COUNT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314.890999884257" backgroundQuery="1" createdVersion="8" refreshedVersion="8" minRefreshableVersion="3" recordCount="0" supportSubquery="1" supportAdvancedDrill="1" xr:uid="{CB6CB5CB-471A-460A-B529-A085D8DE5151}">
  <cacheSource type="external" connectionId="5"/>
  <cacheFields count="4">
    <cacheField name="[Warehousetable].[Order_Tier].[Order_Tier]" caption="Order_Tier" numFmtId="0" hierarchy="21" level="1">
      <sharedItems count="3">
        <s v="High-Value"/>
        <s v="Low-Value"/>
        <s v="Standard"/>
      </sharedItems>
    </cacheField>
    <cacheField name="[Measures].[Sum of Gross_Revenue]" caption="Sum of Gross_Revenue" numFmtId="0" hierarchy="27" level="32767"/>
    <cacheField name="[Customertable].[Region].[Region]" caption="Region" numFmtId="0" hierarchy="2" level="1">
      <sharedItems count="4">
        <s v="East"/>
        <s v="North"/>
        <s v="South"/>
        <s v="West"/>
      </sharedItems>
    </cacheField>
    <cacheField name="[Customertable].[Customer_Name].[Customer_Name]" caption="Customer_Name" numFmtId="0" hierarchy="1" level="1">
      <sharedItems count="5">
        <s v="Apex Systems"/>
        <s v="Acme Retail"/>
        <s v="Beacon Tech"/>
        <s v="Horizon Group"/>
        <s v="Nexus Logistics"/>
      </sharedItems>
    </cacheField>
  </cacheFields>
  <cacheHierarchies count="31">
    <cacheHierarchy uniqueName="[Customertable].[Customer_ID]" caption="Customer_ID" attribute="1" defaultMemberUniqueName="[Customertable].[Customer_ID].[All]" allUniqueName="[Customertable].[Customer_ID].[All]" dimensionUniqueName="[Customertable]" displayFolder="" count="0" memberValueDatatype="130" unbalanced="0"/>
    <cacheHierarchy uniqueName="[Customertable].[Customer_Name]" caption="Customer_Name" attribute="1" defaultMemberUniqueName="[Customertable].[Customer_Name].[All]" allUniqueName="[Customertable].[Customer_Name].[All]" dimensionUniqueName="[Customertable]" displayFolder="" count="2" memberValueDatatype="130" unbalanced="0">
      <fieldsUsage count="2">
        <fieldUsage x="-1"/>
        <fieldUsage x="3"/>
      </fieldsUsage>
    </cacheHierarchy>
    <cacheHierarchy uniqueName="[Customertable].[Region]" caption="Region" attribute="1" defaultMemberUniqueName="[Customertable].[Region].[All]" allUniqueName="[Customertable].[Region].[All]" dimensionUniqueName="[Customertable]" displayFolder="" count="2" memberValueDatatype="130" unbalanced="0">
      <fieldsUsage count="2">
        <fieldUsage x="-1"/>
        <fieldUsage x="2"/>
      </fieldsUsage>
    </cacheHierarchy>
    <cacheHierarchy uniqueName="[Orderstable].[Order_ID]" caption="Order_ID" attribute="1" defaultMemberUniqueName="[Orderstable].[Order_ID].[All]" allUniqueName="[Orderstable].[Order_ID].[All]" dimensionUniqueName="[Orderstable]" displayFolder="" count="0" memberValueDatatype="130" unbalanced="0"/>
    <cacheHierarchy uniqueName="[Orderstable].[Customer_ID]" caption="Customer_ID" attribute="1" defaultMemberUniqueName="[Orderstable].[Customer_ID].[All]" allUniqueName="[Orderstable].[Customer_ID].[All]" dimensionUniqueName="[Orderstable]" displayFolder="" count="0" memberValueDatatype="130" unbalanced="0"/>
    <cacheHierarchy uniqueName="[Orderstable].[Product_Code]" caption="Product_Code" attribute="1" defaultMemberUniqueName="[Orderstable].[Product_Code].[All]" allUniqueName="[Orderstable].[Product_Code].[All]" dimensionUniqueName="[Orderstable]" displayFolder="" count="0" memberValueDatatype="130" unbalanced="0"/>
    <cacheHierarchy uniqueName="[Orderstable].[Units_Sold]" caption="Units_Sold" attribute="1" defaultMemberUniqueName="[Orderstable].[Units_Sold].[All]" allUniqueName="[Orderstable].[Units_Sold].[All]" dimensionUniqueName="[Orderstable]" displayFolder="" count="0" memberValueDatatype="20" unbalanced="0"/>
    <cacheHierarchy uniqueName="[Orderstable].[Customertable.Customer_Name]" caption="Customertable.Customer_Name" attribute="1" defaultMemberUniqueName="[Orderstable].[Customertable.Customer_Name].[All]" allUniqueName="[Orderstable].[Customertable.Customer_Name].[All]" dimensionUniqueName="[Orderstable]" displayFolder="" count="0" memberValueDatatype="130" unbalanced="0"/>
    <cacheHierarchy uniqueName="[Orderstable].[Customertable.Region]" caption="Customertable.Region" attribute="1" defaultMemberUniqueName="[Orderstable].[Customertable.Region].[All]" allUniqueName="[Orderstable].[Customertable.Region].[All]" dimensionUniqueName="[Orderstable]" displayFolder="" count="0" memberValueDatatype="130" unbalanced="0"/>
    <cacheHierarchy uniqueName="[Orderstable].[Producttable.Base_Price]" caption="Producttable.Base_Price" attribute="1" defaultMemberUniqueName="[Orderstable].[Producttable.Base_Price].[All]" allUniqueName="[Orderstable].[Producttable.Base_Price].[All]" dimensionUniqueName="[Orderstable]" displayFolder="" count="0" memberValueDatatype="20" unbalanced="0"/>
    <cacheHierarchy uniqueName="[Producttable].[Base_Price]" caption="Base_Price" attribute="1" defaultMemberUniqueName="[Producttable].[Base_Price].[All]" allUniqueName="[Producttable].[Base_Price].[All]" dimensionUniqueName="[Producttable]" displayFolder="" count="0" memberValueDatatype="20" unbalanced="0"/>
    <cacheHierarchy uniqueName="[Producttable].[Product_Code]" caption="Product_Code" attribute="1" defaultMemberUniqueName="[Producttable].[Product_Code].[All]" allUniqueName="[Producttable].[Product_Code].[All]" dimensionUniqueName="[Producttable]" displayFolder="" count="0" memberValueDatatype="130" unbalanced="0"/>
    <cacheHierarchy uniqueName="[Warehousetable].[Order_ID]" caption="Order_ID" attribute="1" defaultMemberUniqueName="[Warehousetable].[Order_ID].[All]" allUniqueName="[Warehousetable].[Order_ID].[All]" dimensionUniqueName="[Warehousetable]" displayFolder="" count="0" memberValueDatatype="130" unbalanced="0"/>
    <cacheHierarchy uniqueName="[Warehousetable].[Customer_ID]" caption="Customer_ID" attribute="1" defaultMemberUniqueName="[Warehousetable].[Customer_ID].[All]" allUniqueName="[Warehousetable].[Customer_ID].[All]" dimensionUniqueName="[Warehousetable]" displayFolder="" count="0" memberValueDatatype="130" unbalanced="0"/>
    <cacheHierarchy uniqueName="[Warehousetable].[Product_Code]" caption="Product_Code" attribute="1" defaultMemberUniqueName="[Warehousetable].[Product_Code].[All]" allUniqueName="[Warehousetable].[Product_Code].[All]" dimensionUniqueName="[Warehousetable]" displayFolder="" count="0" memberValueDatatype="130" unbalanced="0"/>
    <cacheHierarchy uniqueName="[Warehousetable].[Units_Sold]" caption="Units_Sold" attribute="1" defaultMemberUniqueName="[Warehousetable].[Units_Sold].[All]" allUniqueName="[Warehousetable].[Units_Sold].[All]" dimensionUniqueName="[Warehousetable]" displayFolder="" count="0" memberValueDatatype="20" unbalanced="0"/>
    <cacheHierarchy uniqueName="[Warehousetable].[Customertable.Customer_Name]" caption="Customertable.Customer_Name" attribute="1" defaultMemberUniqueName="[Warehousetable].[Customertable.Customer_Name].[All]" allUniqueName="[Warehousetable].[Customertable.Customer_Name].[All]" dimensionUniqueName="[Warehousetable]" displayFolder="" count="0" memberValueDatatype="130" unbalanced="0"/>
    <cacheHierarchy uniqueName="[Warehousetable].[Customertable.Region]" caption="Customertable.Region" attribute="1" defaultMemberUniqueName="[Warehousetable].[Customertable.Region].[All]" allUniqueName="[Warehousetable].[Customertable.Region].[All]" dimensionUniqueName="[Warehousetable]" displayFolder="" count="0" memberValueDatatype="130" unbalanced="0"/>
    <cacheHierarchy uniqueName="[Warehousetable].[Producttable.Base_Price]" caption="Producttable.Base_Price" attribute="1" defaultMemberUniqueName="[Warehousetable].[Producttable.Base_Price].[All]" allUniqueName="[Warehousetable].[Producttable.Base_Price].[All]" dimensionUniqueName="[Warehousetable]" displayFolder="" count="0" memberValueDatatype="20" unbalanced="0"/>
    <cacheHierarchy uniqueName="[Warehousetable].[Product_Type]" caption="Product_Type" attribute="1" defaultMemberUniqueName="[Warehousetable].[Product_Type].[All]" allUniqueName="[Warehousetable].[Product_Type].[All]" dimensionUniqueName="[Warehousetable]" displayFolder="" count="0" memberValueDatatype="130" unbalanced="0"/>
    <cacheHierarchy uniqueName="[Warehousetable].[Gross_Revenue]" caption="Gross_Revenue" attribute="1" defaultMemberUniqueName="[Warehousetable].[Gross_Revenue].[All]" allUniqueName="[Warehousetable].[Gross_Revenue].[All]" dimensionUniqueName="[Warehousetable]" displayFolder="" count="0" memberValueDatatype="20" unbalanced="0"/>
    <cacheHierarchy uniqueName="[Warehousetable].[Order_Tier]" caption="Order_Tier" attribute="1" defaultMemberUniqueName="[Warehousetable].[Order_Tier].[All]" allUniqueName="[Warehousetable].[Order_Tier].[All]" dimensionUniqueName="[Warehousetable]" displayFolder="" count="2" memberValueDatatype="130" unbalanced="0">
      <fieldsUsage count="2">
        <fieldUsage x="-1"/>
        <fieldUsage x="0"/>
      </fieldsUsage>
    </cacheHierarchy>
    <cacheHierarchy uniqueName="[Measures].[__XL_Count Orderstable]" caption="__XL_Count Orderstable" measure="1" displayFolder="" measureGroup="Orderstable" count="0" hidden="1"/>
    <cacheHierarchy uniqueName="[Measures].[__XL_Count Customertable]" caption="__XL_Count Customertable" measure="1" displayFolder="" measureGroup="Customertable" count="0" hidden="1"/>
    <cacheHierarchy uniqueName="[Measures].[__XL_Count Producttable]" caption="__XL_Count Producttable" measure="1" displayFolder="" measureGroup="Producttable" count="0" hidden="1"/>
    <cacheHierarchy uniqueName="[Measures].[__XL_Count Warehousetable]" caption="__XL_Count Warehousetable" measure="1" displayFolder="" measureGroup="Warehousetable" count="0" hidden="1"/>
    <cacheHierarchy uniqueName="[Measures].[__No measures defined]" caption="__No measures defined" measure="1" displayFolder="" count="0" hidden="1"/>
    <cacheHierarchy uniqueName="[Measures].[Sum of Gross_Revenue]" caption="Sum of Gross_Revenue" measure="1" displayFolder="" measureGroup="Warehouse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Gross_Revenue]" caption="Average of Gross_Revenue" measure="1" displayFolder="" measureGroup="Warehousetabl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s_Sold]" caption="Sum of Units_Sold" measure="1" displayFolder="" measureGroup="Warehouse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_Tier]" caption="Count of Order_Tier" measure="1" displayFolder="" measureGroup="Warehouse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Customertable" uniqueName="[Customertable]" caption="Customertable"/>
    <dimension measure="1" name="Measures" uniqueName="[Measures]" caption="Measures"/>
    <dimension name="Orderstable" uniqueName="[Orderstable]" caption="Orderstable"/>
    <dimension name="Producttable" uniqueName="[Producttable]" caption="Producttable"/>
    <dimension name="Warehousetable" uniqueName="[Warehousetable]" caption="Warehousetable"/>
  </dimensions>
  <measureGroups count="4">
    <measureGroup name="Customertable" caption="Customertable"/>
    <measureGroup name="Orderstable" caption="Orderstable"/>
    <measureGroup name="Producttable" caption="Producttable"/>
    <measureGroup name="Warehousetable" caption="Warehousetable"/>
  </measureGroups>
  <maps count="4">
    <map measureGroup="0" dimension="0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315.046390740739" backgroundQuery="1" createdVersion="8" refreshedVersion="8" minRefreshableVersion="3" recordCount="0" supportSubquery="1" supportAdvancedDrill="1" xr:uid="{2523F39A-A158-422B-85A1-10752B9AE010}">
  <cacheSource type="external" connectionId="5"/>
  <cacheFields count="2">
    <cacheField name="[Measures].[Sum of Gross_Revenue]" caption="Sum of Gross_Revenue" numFmtId="0" hierarchy="27" level="32767"/>
    <cacheField name="[Warehousetable].[Customertable.Region].[Customertable.Region]" caption="Customertable.Region" numFmtId="0" hierarchy="17" level="1">
      <sharedItems count="4">
        <s v="East"/>
        <s v="North"/>
        <s v="South"/>
        <s v="West"/>
      </sharedItems>
    </cacheField>
  </cacheFields>
  <cacheHierarchies count="31">
    <cacheHierarchy uniqueName="[Customertable].[Customer_ID]" caption="Customer_ID" attribute="1" defaultMemberUniqueName="[Customertable].[Customer_ID].[All]" allUniqueName="[Customertable].[Customer_ID].[All]" dimensionUniqueName="[Customertable]" displayFolder="" count="0" memberValueDatatype="130" unbalanced="0"/>
    <cacheHierarchy uniqueName="[Customertable].[Customer_Name]" caption="Customer_Name" attribute="1" defaultMemberUniqueName="[Customertable].[Customer_Name].[All]" allUniqueName="[Customertable].[Customer_Name].[All]" dimensionUniqueName="[Customertable]" displayFolder="" count="2" memberValueDatatype="130" unbalanced="0"/>
    <cacheHierarchy uniqueName="[Customertable].[Region]" caption="Region" attribute="1" defaultMemberUniqueName="[Customertable].[Region].[All]" allUniqueName="[Customertable].[Region].[All]" dimensionUniqueName="[Customertable]" displayFolder="" count="2" memberValueDatatype="130" unbalanced="0"/>
    <cacheHierarchy uniqueName="[Orderstable].[Order_ID]" caption="Order_ID" attribute="1" defaultMemberUniqueName="[Orderstable].[Order_ID].[All]" allUniqueName="[Orderstable].[Order_ID].[All]" dimensionUniqueName="[Orderstable]" displayFolder="" count="0" memberValueDatatype="130" unbalanced="0"/>
    <cacheHierarchy uniqueName="[Orderstable].[Customer_ID]" caption="Customer_ID" attribute="1" defaultMemberUniqueName="[Orderstable].[Customer_ID].[All]" allUniqueName="[Orderstable].[Customer_ID].[All]" dimensionUniqueName="[Orderstable]" displayFolder="" count="0" memberValueDatatype="130" unbalanced="0"/>
    <cacheHierarchy uniqueName="[Orderstable].[Product_Code]" caption="Product_Code" attribute="1" defaultMemberUniqueName="[Orderstable].[Product_Code].[All]" allUniqueName="[Orderstable].[Product_Code].[All]" dimensionUniqueName="[Orderstable]" displayFolder="" count="0" memberValueDatatype="130" unbalanced="0"/>
    <cacheHierarchy uniqueName="[Orderstable].[Units_Sold]" caption="Units_Sold" attribute="1" defaultMemberUniqueName="[Orderstable].[Units_Sold].[All]" allUniqueName="[Orderstable].[Units_Sold].[All]" dimensionUniqueName="[Orderstable]" displayFolder="" count="0" memberValueDatatype="20" unbalanced="0"/>
    <cacheHierarchy uniqueName="[Orderstable].[Customertable.Customer_Name]" caption="Customertable.Customer_Name" attribute="1" defaultMemberUniqueName="[Orderstable].[Customertable.Customer_Name].[All]" allUniqueName="[Orderstable].[Customertable.Customer_Name].[All]" dimensionUniqueName="[Orderstable]" displayFolder="" count="0" memberValueDatatype="130" unbalanced="0"/>
    <cacheHierarchy uniqueName="[Orderstable].[Customertable.Region]" caption="Customertable.Region" attribute="1" defaultMemberUniqueName="[Orderstable].[Customertable.Region].[All]" allUniqueName="[Orderstable].[Customertable.Region].[All]" dimensionUniqueName="[Orderstable]" displayFolder="" count="0" memberValueDatatype="130" unbalanced="0"/>
    <cacheHierarchy uniqueName="[Orderstable].[Producttable.Base_Price]" caption="Producttable.Base_Price" attribute="1" defaultMemberUniqueName="[Orderstable].[Producttable.Base_Price].[All]" allUniqueName="[Orderstable].[Producttable.Base_Price].[All]" dimensionUniqueName="[Orderstable]" displayFolder="" count="0" memberValueDatatype="20" unbalanced="0"/>
    <cacheHierarchy uniqueName="[Producttable].[Base_Price]" caption="Base_Price" attribute="1" defaultMemberUniqueName="[Producttable].[Base_Price].[All]" allUniqueName="[Producttable].[Base_Price].[All]" dimensionUniqueName="[Producttable]" displayFolder="" count="0" memberValueDatatype="20" unbalanced="0"/>
    <cacheHierarchy uniqueName="[Producttable].[Product_Code]" caption="Product_Code" attribute="1" defaultMemberUniqueName="[Producttable].[Product_Code].[All]" allUniqueName="[Producttable].[Product_Code].[All]" dimensionUniqueName="[Producttable]" displayFolder="" count="0" memberValueDatatype="130" unbalanced="0"/>
    <cacheHierarchy uniqueName="[Warehousetable].[Order_ID]" caption="Order_ID" attribute="1" defaultMemberUniqueName="[Warehousetable].[Order_ID].[All]" allUniqueName="[Warehousetable].[Order_ID].[All]" dimensionUniqueName="[Warehousetable]" displayFolder="" count="0" memberValueDatatype="130" unbalanced="0"/>
    <cacheHierarchy uniqueName="[Warehousetable].[Customer_ID]" caption="Customer_ID" attribute="1" defaultMemberUniqueName="[Warehousetable].[Customer_ID].[All]" allUniqueName="[Warehousetable].[Customer_ID].[All]" dimensionUniqueName="[Warehousetable]" displayFolder="" count="0" memberValueDatatype="130" unbalanced="0"/>
    <cacheHierarchy uniqueName="[Warehousetable].[Product_Code]" caption="Product_Code" attribute="1" defaultMemberUniqueName="[Warehousetable].[Product_Code].[All]" allUniqueName="[Warehousetable].[Product_Code].[All]" dimensionUniqueName="[Warehousetable]" displayFolder="" count="0" memberValueDatatype="130" unbalanced="0"/>
    <cacheHierarchy uniqueName="[Warehousetable].[Units_Sold]" caption="Units_Sold" attribute="1" defaultMemberUniqueName="[Warehousetable].[Units_Sold].[All]" allUniqueName="[Warehousetable].[Units_Sold].[All]" dimensionUniqueName="[Warehousetable]" displayFolder="" count="0" memberValueDatatype="20" unbalanced="0"/>
    <cacheHierarchy uniqueName="[Warehousetable].[Customertable.Customer_Name]" caption="Customertable.Customer_Name" attribute="1" defaultMemberUniqueName="[Warehousetable].[Customertable.Customer_Name].[All]" allUniqueName="[Warehousetable].[Customertable.Customer_Name].[All]" dimensionUniqueName="[Warehousetable]" displayFolder="" count="0" memberValueDatatype="130" unbalanced="0"/>
    <cacheHierarchy uniqueName="[Warehousetable].[Customertable.Region]" caption="Customertable.Region" attribute="1" defaultMemberUniqueName="[Warehousetable].[Customertable.Region].[All]" allUniqueName="[Warehousetable].[Customertable.Region].[All]" dimensionUniqueName="[Warehousetable]" displayFolder="" count="2" memberValueDatatype="130" unbalanced="0">
      <fieldsUsage count="2">
        <fieldUsage x="-1"/>
        <fieldUsage x="1"/>
      </fieldsUsage>
    </cacheHierarchy>
    <cacheHierarchy uniqueName="[Warehousetable].[Producttable.Base_Price]" caption="Producttable.Base_Price" attribute="1" defaultMemberUniqueName="[Warehousetable].[Producttable.Base_Price].[All]" allUniqueName="[Warehousetable].[Producttable.Base_Price].[All]" dimensionUniqueName="[Warehousetable]" displayFolder="" count="0" memberValueDatatype="20" unbalanced="0"/>
    <cacheHierarchy uniqueName="[Warehousetable].[Product_Type]" caption="Product_Type" attribute="1" defaultMemberUniqueName="[Warehousetable].[Product_Type].[All]" allUniqueName="[Warehousetable].[Product_Type].[All]" dimensionUniqueName="[Warehousetable]" displayFolder="" count="0" memberValueDatatype="130" unbalanced="0"/>
    <cacheHierarchy uniqueName="[Warehousetable].[Gross_Revenue]" caption="Gross_Revenue" attribute="1" defaultMemberUniqueName="[Warehousetable].[Gross_Revenue].[All]" allUniqueName="[Warehousetable].[Gross_Revenue].[All]" dimensionUniqueName="[Warehousetable]" displayFolder="" count="0" memberValueDatatype="20" unbalanced="0"/>
    <cacheHierarchy uniqueName="[Warehousetable].[Order_Tier]" caption="Order_Tier" attribute="1" defaultMemberUniqueName="[Warehousetable].[Order_Tier].[All]" allUniqueName="[Warehousetable].[Order_Tier].[All]" dimensionUniqueName="[Warehousetable]" displayFolder="" count="2" memberValueDatatype="130" unbalanced="0"/>
    <cacheHierarchy uniqueName="[Measures].[__XL_Count Orderstable]" caption="__XL_Count Orderstable" measure="1" displayFolder="" measureGroup="Orderstable" count="0" hidden="1"/>
    <cacheHierarchy uniqueName="[Measures].[__XL_Count Customertable]" caption="__XL_Count Customertable" measure="1" displayFolder="" measureGroup="Customertable" count="0" hidden="1"/>
    <cacheHierarchy uniqueName="[Measures].[__XL_Count Producttable]" caption="__XL_Count Producttable" measure="1" displayFolder="" measureGroup="Producttable" count="0" hidden="1"/>
    <cacheHierarchy uniqueName="[Measures].[__XL_Count Warehousetable]" caption="__XL_Count Warehousetable" measure="1" displayFolder="" measureGroup="Warehousetable" count="0" hidden="1"/>
    <cacheHierarchy uniqueName="[Measures].[__No measures defined]" caption="__No measures defined" measure="1" displayFolder="" count="0" hidden="1"/>
    <cacheHierarchy uniqueName="[Measures].[Sum of Gross_Revenue]" caption="Sum of Gross_Revenue" measure="1" displayFolder="" measureGroup="Warehouse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Gross_Revenue]" caption="Average of Gross_Revenue" measure="1" displayFolder="" measureGroup="Warehousetabl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s_Sold]" caption="Sum of Units_Sold" measure="1" displayFolder="" measureGroup="Warehousetabl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_Tier]" caption="Count of Order_Tier" measure="1" displayFolder="" measureGroup="Warehouse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Customertable" uniqueName="[Customertable]" caption="Customertable"/>
    <dimension measure="1" name="Measures" uniqueName="[Measures]" caption="Measures"/>
    <dimension name="Orderstable" uniqueName="[Orderstable]" caption="Orderstable"/>
    <dimension name="Producttable" uniqueName="[Producttable]" caption="Producttable"/>
    <dimension name="Warehousetable" uniqueName="[Warehousetable]" caption="Warehousetable"/>
  </dimensions>
  <measureGroups count="4">
    <measureGroup name="Customertable" caption="Customertable"/>
    <measureGroup name="Orderstable" caption="Orderstable"/>
    <measureGroup name="Producttable" caption="Producttable"/>
    <measureGroup name="Warehousetable" caption="Warehousetable"/>
  </measureGroups>
  <maps count="4">
    <map measureGroup="0" dimension="0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315.522366203702" backgroundQuery="1" createdVersion="8" refreshedVersion="8" minRefreshableVersion="3" recordCount="0" supportSubquery="1" supportAdvancedDrill="1" xr:uid="{149D49CC-2713-4822-B6BD-F82AFF3AA1BF}">
  <cacheSource type="external" connectionId="5"/>
  <cacheFields count="3">
    <cacheField name="[Measures].[Sum of Gross_Revenue]" caption="Sum of Gross_Revenue" numFmtId="0" hierarchy="27" level="32767"/>
    <cacheField name="[Measures].[Sum of Units_Sold]" caption="Sum of Units_Sold" numFmtId="0" hierarchy="29" level="32767"/>
    <cacheField name="[Measures].[Count of Order_Tier]" caption="Count of Order_Tier" numFmtId="0" hierarchy="30" level="32767"/>
  </cacheFields>
  <cacheHierarchies count="31">
    <cacheHierarchy uniqueName="[Customertable].[Customer_ID]" caption="Customer_ID" attribute="1" defaultMemberUniqueName="[Customertable].[Customer_ID].[All]" allUniqueName="[Customertable].[Customer_ID].[All]" dimensionUniqueName="[Customertable]" displayFolder="" count="0" memberValueDatatype="130" unbalanced="0"/>
    <cacheHierarchy uniqueName="[Customertable].[Customer_Name]" caption="Customer_Name" attribute="1" defaultMemberUniqueName="[Customertable].[Customer_Name].[All]" allUniqueName="[Customertable].[Customer_Name].[All]" dimensionUniqueName="[Customertable]" displayFolder="" count="2" memberValueDatatype="130" unbalanced="0"/>
    <cacheHierarchy uniqueName="[Customertable].[Region]" caption="Region" attribute="1" defaultMemberUniqueName="[Customertable].[Region].[All]" allUniqueName="[Customertable].[Region].[All]" dimensionUniqueName="[Customertable]" displayFolder="" count="2" memberValueDatatype="130" unbalanced="0"/>
    <cacheHierarchy uniqueName="[Orderstable].[Order_ID]" caption="Order_ID" attribute="1" defaultMemberUniqueName="[Orderstable].[Order_ID].[All]" allUniqueName="[Orderstable].[Order_ID].[All]" dimensionUniqueName="[Orderstable]" displayFolder="" count="0" memberValueDatatype="130" unbalanced="0"/>
    <cacheHierarchy uniqueName="[Orderstable].[Customer_ID]" caption="Customer_ID" attribute="1" defaultMemberUniqueName="[Orderstable].[Customer_ID].[All]" allUniqueName="[Orderstable].[Customer_ID].[All]" dimensionUniqueName="[Orderstable]" displayFolder="" count="0" memberValueDatatype="130" unbalanced="0"/>
    <cacheHierarchy uniqueName="[Orderstable].[Product_Code]" caption="Product_Code" attribute="1" defaultMemberUniqueName="[Orderstable].[Product_Code].[All]" allUniqueName="[Orderstable].[Product_Code].[All]" dimensionUniqueName="[Orderstable]" displayFolder="" count="0" memberValueDatatype="130" unbalanced="0"/>
    <cacheHierarchy uniqueName="[Orderstable].[Units_Sold]" caption="Units_Sold" attribute="1" defaultMemberUniqueName="[Orderstable].[Units_Sold].[All]" allUniqueName="[Orderstable].[Units_Sold].[All]" dimensionUniqueName="[Orderstable]" displayFolder="" count="0" memberValueDatatype="20" unbalanced="0"/>
    <cacheHierarchy uniqueName="[Orderstable].[Customertable.Customer_Name]" caption="Customertable.Customer_Name" attribute="1" defaultMemberUniqueName="[Orderstable].[Customertable.Customer_Name].[All]" allUniqueName="[Orderstable].[Customertable.Customer_Name].[All]" dimensionUniqueName="[Orderstable]" displayFolder="" count="0" memberValueDatatype="130" unbalanced="0"/>
    <cacheHierarchy uniqueName="[Orderstable].[Customertable.Region]" caption="Customertable.Region" attribute="1" defaultMemberUniqueName="[Orderstable].[Customertable.Region].[All]" allUniqueName="[Orderstable].[Customertable.Region].[All]" dimensionUniqueName="[Orderstable]" displayFolder="" count="0" memberValueDatatype="130" unbalanced="0"/>
    <cacheHierarchy uniqueName="[Orderstable].[Producttable.Base_Price]" caption="Producttable.Base_Price" attribute="1" defaultMemberUniqueName="[Orderstable].[Producttable.Base_Price].[All]" allUniqueName="[Orderstable].[Producttable.Base_Price].[All]" dimensionUniqueName="[Orderstable]" displayFolder="" count="0" memberValueDatatype="20" unbalanced="0"/>
    <cacheHierarchy uniqueName="[Producttable].[Base_Price]" caption="Base_Price" attribute="1" defaultMemberUniqueName="[Producttable].[Base_Price].[All]" allUniqueName="[Producttable].[Base_Price].[All]" dimensionUniqueName="[Producttable]" displayFolder="" count="0" memberValueDatatype="20" unbalanced="0"/>
    <cacheHierarchy uniqueName="[Producttable].[Product_Code]" caption="Product_Code" attribute="1" defaultMemberUniqueName="[Producttable].[Product_Code].[All]" allUniqueName="[Producttable].[Product_Code].[All]" dimensionUniqueName="[Producttable]" displayFolder="" count="0" memberValueDatatype="130" unbalanced="0"/>
    <cacheHierarchy uniqueName="[Warehousetable].[Order_ID]" caption="Order_ID" attribute="1" defaultMemberUniqueName="[Warehousetable].[Order_ID].[All]" allUniqueName="[Warehousetable].[Order_ID].[All]" dimensionUniqueName="[Warehousetable]" displayFolder="" count="0" memberValueDatatype="130" unbalanced="0"/>
    <cacheHierarchy uniqueName="[Warehousetable].[Customer_ID]" caption="Customer_ID" attribute="1" defaultMemberUniqueName="[Warehousetable].[Customer_ID].[All]" allUniqueName="[Warehousetable].[Customer_ID].[All]" dimensionUniqueName="[Warehousetable]" displayFolder="" count="0" memberValueDatatype="130" unbalanced="0"/>
    <cacheHierarchy uniqueName="[Warehousetable].[Product_Code]" caption="Product_Code" attribute="1" defaultMemberUniqueName="[Warehousetable].[Product_Code].[All]" allUniqueName="[Warehousetable].[Product_Code].[All]" dimensionUniqueName="[Warehousetable]" displayFolder="" count="0" memberValueDatatype="130" unbalanced="0"/>
    <cacheHierarchy uniqueName="[Warehousetable].[Units_Sold]" caption="Units_Sold" attribute="1" defaultMemberUniqueName="[Warehousetable].[Units_Sold].[All]" allUniqueName="[Warehousetable].[Units_Sold].[All]" dimensionUniqueName="[Warehousetable]" displayFolder="" count="0" memberValueDatatype="20" unbalanced="0"/>
    <cacheHierarchy uniqueName="[Warehousetable].[Customertable.Customer_Name]" caption="Customertable.Customer_Name" attribute="1" defaultMemberUniqueName="[Warehousetable].[Customertable.Customer_Name].[All]" allUniqueName="[Warehousetable].[Customertable.Customer_Name].[All]" dimensionUniqueName="[Warehousetable]" displayFolder="" count="0" memberValueDatatype="130" unbalanced="0"/>
    <cacheHierarchy uniqueName="[Warehousetable].[Customertable.Region]" caption="Customertable.Region" attribute="1" defaultMemberUniqueName="[Warehousetable].[Customertable.Region].[All]" allUniqueName="[Warehousetable].[Customertable.Region].[All]" dimensionUniqueName="[Warehousetable]" displayFolder="" count="2" memberValueDatatype="130" unbalanced="0"/>
    <cacheHierarchy uniqueName="[Warehousetable].[Producttable.Base_Price]" caption="Producttable.Base_Price" attribute="1" defaultMemberUniqueName="[Warehousetable].[Producttable.Base_Price].[All]" allUniqueName="[Warehousetable].[Producttable.Base_Price].[All]" dimensionUniqueName="[Warehousetable]" displayFolder="" count="0" memberValueDatatype="20" unbalanced="0"/>
    <cacheHierarchy uniqueName="[Warehousetable].[Product_Type]" caption="Product_Type" attribute="1" defaultMemberUniqueName="[Warehousetable].[Product_Type].[All]" allUniqueName="[Warehousetable].[Product_Type].[All]" dimensionUniqueName="[Warehousetable]" displayFolder="" count="0" memberValueDatatype="130" unbalanced="0"/>
    <cacheHierarchy uniqueName="[Warehousetable].[Gross_Revenue]" caption="Gross_Revenue" attribute="1" defaultMemberUniqueName="[Warehousetable].[Gross_Revenue].[All]" allUniqueName="[Warehousetable].[Gross_Revenue].[All]" dimensionUniqueName="[Warehousetable]" displayFolder="" count="0" memberValueDatatype="20" unbalanced="0"/>
    <cacheHierarchy uniqueName="[Warehousetable].[Order_Tier]" caption="Order_Tier" attribute="1" defaultMemberUniqueName="[Warehousetable].[Order_Tier].[All]" allUniqueName="[Warehousetable].[Order_Tier].[All]" dimensionUniqueName="[Warehousetable]" displayFolder="" count="2" memberValueDatatype="130" unbalanced="0"/>
    <cacheHierarchy uniqueName="[Measures].[__XL_Count Orderstable]" caption="__XL_Count Orderstable" measure="1" displayFolder="" measureGroup="Orderstable" count="0" hidden="1"/>
    <cacheHierarchy uniqueName="[Measures].[__XL_Count Customertable]" caption="__XL_Count Customertable" measure="1" displayFolder="" measureGroup="Customertable" count="0" hidden="1"/>
    <cacheHierarchy uniqueName="[Measures].[__XL_Count Producttable]" caption="__XL_Count Producttable" measure="1" displayFolder="" measureGroup="Producttable" count="0" hidden="1"/>
    <cacheHierarchy uniqueName="[Measures].[__XL_Count Warehousetable]" caption="__XL_Count Warehousetable" measure="1" displayFolder="" measureGroup="Warehousetable" count="0" hidden="1"/>
    <cacheHierarchy uniqueName="[Measures].[__No measures defined]" caption="__No measures defined" measure="1" displayFolder="" count="0" hidden="1"/>
    <cacheHierarchy uniqueName="[Measures].[Sum of Gross_Revenue]" caption="Sum of Gross_Revenue" measure="1" displayFolder="" measureGroup="Warehouse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Gross_Revenue]" caption="Average of Gross_Revenue" measure="1" displayFolder="" measureGroup="Warehousetabl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Units_Sold]" caption="Sum of Units_Sold" measure="1" displayFolder="" measureGroup="Warehouse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Order_Tier]" caption="Count of Order_Tier" measure="1" displayFolder="" measureGroup="Warehouse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Customertable" uniqueName="[Customertable]" caption="Customertable"/>
    <dimension measure="1" name="Measures" uniqueName="[Measures]" caption="Measures"/>
    <dimension name="Orderstable" uniqueName="[Orderstable]" caption="Orderstable"/>
    <dimension name="Producttable" uniqueName="[Producttable]" caption="Producttable"/>
    <dimension name="Warehousetable" uniqueName="[Warehousetable]" caption="Warehousetable"/>
  </dimensions>
  <measureGroups count="4">
    <measureGroup name="Customertable" caption="Customertable"/>
    <measureGroup name="Orderstable" caption="Orderstable"/>
    <measureGroup name="Producttable" caption="Producttable"/>
    <measureGroup name="Warehousetable" caption="Warehousetable"/>
  </measureGroups>
  <maps count="4">
    <map measureGroup="0" dimension="0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7C429-7800-4192-9471-DFCCE31F123F}" name="PivotTable1" cacheId="1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chartFormat="64">
  <location ref="A3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Gross_Revenue" fld="0" baseField="0" baseItem="0"/>
  </dataFields>
  <chartFormats count="1">
    <chartFormat chart="6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Gross_Revenue"/>
    <pivotHierarchy dragToData="1" caption="Average of Gross_Revenu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rehousetable]"/>
        <x15:activeTabTopLevelEntity name="[Customer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8838D-E030-4B26-AB86-CA95879F12F8}" name="PivotTable8" cacheId="2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chartFormat="64">
  <location ref="A16:C17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Units_Sold" fld="1" baseField="0" baseItem="0"/>
    <dataField name="Sum of Gross_Revenue" fld="0" baseField="0" baseItem="0"/>
    <dataField name="Count of Order_Tier" fld="2" subtotal="count" baseField="0" baseItem="0"/>
  </dataFields>
  <chartFormats count="3">
    <chartFormat chart="6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Gross_Revenue"/>
    <pivotHierarchy dragToData="1" caption="Average of Gross_Revenue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arehousetable]"/>
        <x15:activeTabTopLevelEntity name="[Customer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86EB3-FEAA-4C2A-99FB-DE685CC43CD3}" name="PivotTable5" cacheId="0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>
  <location ref="G5:K15" firstHeaderRow="1" firstDataRow="2" firstDataCol="1"/>
  <pivotFields count="4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2">
    <field x="2"/>
    <field x="3"/>
  </rowFields>
  <rowItems count="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Gross_Revenue" fld="1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Gross_Revenue"/>
    <pivotHierarchy dragToData="1" caption="Average of Gross_Revenue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Warehousetable]"/>
        <x15:activeTabTopLevelEntity name="[Customer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DDA2D4B-1C21-4166-982F-F00024EEB469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Order_ID" tableColumnId="1"/>
      <queryTableField id="2" name="Customer_ID" tableColumnId="2"/>
      <queryTableField id="3" name="Product_Code" tableColumnId="3"/>
      <queryTableField id="4" name="Units_Sold" tableColumnId="4"/>
      <queryTableField id="5" name="Customertable.Customer_Name" tableColumnId="5"/>
      <queryTableField id="6" name="Customertable.Region" tableColumnId="6"/>
      <queryTableField id="7" name="Producttable.Base_Price" tableColumnId="7"/>
      <queryTableField id="8" dataBound="0" tableColumnId="8"/>
      <queryTableField id="9" dataBound="0" tableColumnId="9"/>
      <queryTableField id="10" dataBound="0" tableColumnId="10"/>
    </queryTableFields>
  </queryTableRefresh>
  <extLst>
    <ext xmlns:x15="http://schemas.microsoft.com/office/spreadsheetml/2010/11/main" uri="{883FBD77-0823-4a55-B5E3-86C4891E6966}">
      <x15:queryTable sourceDataName="Query - Orderstable"/>
    </ext>
  </extLst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5078E6-36A1-41F6-86B5-8324D3C63395}" name="Orderstable" displayName="Orderstable" ref="A1:D8" totalsRowShown="0" headerRowDxfId="27" dataDxfId="26">
  <autoFilter ref="A1:D8" xr:uid="{315078E6-36A1-41F6-86B5-8324D3C63395}"/>
  <tableColumns count="4">
    <tableColumn id="1" xr3:uid="{9ECCF2F1-9E3D-4AF0-A2C6-6B4E9A51BF48}" name="Order_ID" dataDxfId="25"/>
    <tableColumn id="2" xr3:uid="{B44248B0-EC95-42CB-B041-D1C6340C3F7A}" name="Customer_ID" dataDxfId="24"/>
    <tableColumn id="3" xr3:uid="{7F95DDF7-F57E-4EB7-AB58-0573BFBBB45C}" name="Product_Code" dataDxfId="23"/>
    <tableColumn id="4" xr3:uid="{328AF436-8FF9-4741-8980-C3986DEB592B}" name="Units_Sold" dataDxfId="2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F415F1-C2BD-4AE3-AB1F-D4254F41AE82}" name="Customertable" displayName="Customertable" ref="A1:C6" totalsRowShown="0" headerRowDxfId="21" dataDxfId="20">
  <autoFilter ref="A1:C6" xr:uid="{CDF415F1-C2BD-4AE3-AB1F-D4254F41AE82}"/>
  <tableColumns count="3">
    <tableColumn id="1" xr3:uid="{E13AD5A2-FE08-440A-BC57-8789F1CCEC6A}" name="Customer_ID" dataDxfId="19"/>
    <tableColumn id="2" xr3:uid="{300E76E4-11AC-4208-842E-93B6A387DBC5}" name="Customer_Name" dataDxfId="18"/>
    <tableColumn id="3" xr3:uid="{08A702EC-81DB-4C80-A272-0AB8E8B8CC15}" name="Region" dataDxfId="1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F1DEA3-99C2-44BA-83FE-E09814F127AA}" name="Producttable" displayName="Producttable" ref="A1:B4" totalsRowShown="0" headerRowDxfId="16" dataDxfId="15">
  <autoFilter ref="A1:B4" xr:uid="{AEF1DEA3-99C2-44BA-83FE-E09814F127AA}"/>
  <tableColumns count="2">
    <tableColumn id="1" xr3:uid="{4F82DEFE-B434-49E5-BC1A-D99FF300BDEC}" name="Base_Price" dataDxfId="14"/>
    <tableColumn id="2" xr3:uid="{6F67B0C9-3FBB-4F8D-9F0D-516083C4A357}" name="Product_Code" dataDxfId="13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C7647-F4BB-4B2A-A41D-AB6F5541B363}" name="Warehousetable" displayName="Warehousetable" ref="A1:J8" tableType="queryTable" totalsRowShown="0" headerRowDxfId="12" dataDxfId="11">
  <autoFilter ref="A1:J8" xr:uid="{FB7C7647-F4BB-4B2A-A41D-AB6F5541B363}"/>
  <tableColumns count="10">
    <tableColumn id="1" xr3:uid="{6D88866E-C78D-42FB-8087-BD41B18AEBA4}" uniqueName="1" name="Order_ID" queryTableFieldId="1" dataDxfId="10"/>
    <tableColumn id="2" xr3:uid="{2503FE39-07EA-4576-91E7-13DCEA47802F}" uniqueName="2" name="Customer_ID" queryTableFieldId="2" dataDxfId="9"/>
    <tableColumn id="3" xr3:uid="{617754B1-AC44-4711-8D88-FF88E23A4E83}" uniqueName="3" name="Product_Code" queryTableFieldId="3" dataDxfId="8"/>
    <tableColumn id="4" xr3:uid="{CBDC57B6-B230-4422-9EB1-2EABF402213F}" uniqueName="4" name="Units_Sold" queryTableFieldId="4" dataDxfId="7"/>
    <tableColumn id="5" xr3:uid="{D975DBA8-AF52-4731-BD34-4AB6D86C50BA}" uniqueName="5" name="Customertable.Customer_Name" queryTableFieldId="5" dataDxfId="6"/>
    <tableColumn id="6" xr3:uid="{F629493C-F765-45B6-96A6-8B919822C01A}" uniqueName="6" name="Customertable.Region" queryTableFieldId="6" dataDxfId="5"/>
    <tableColumn id="7" xr3:uid="{FD6808D9-DF3A-47A2-B689-256D5DF7AD80}" uniqueName="7" name="Producttable.Base_Price" queryTableFieldId="7" dataDxfId="4"/>
    <tableColumn id="8" xr3:uid="{2D9E0B03-A5DE-4F2A-8B03-6B5FD37C1203}" uniqueName="8" name="Product_Type" queryTableFieldId="8" dataDxfId="3">
      <calculatedColumnFormula>MID(C2,6,4)</calculatedColumnFormula>
    </tableColumn>
    <tableColumn id="9" xr3:uid="{7B811569-8AB3-4963-B04F-A9E3ACBF37E9}" uniqueName="9" name="Gross_Revenue" queryTableFieldId="9" dataDxfId="2">
      <calculatedColumnFormula>D2*G2</calculatedColumnFormula>
    </tableColumn>
    <tableColumn id="10" xr3:uid="{90C843F2-64FB-49F0-97EA-AE7171C7B892}" uniqueName="10" name="Order_Tier" queryTableFieldId="10" dataDxfId="1">
      <calculatedColumnFormula>IF(I2&gt;=1000,"High-Value",IF(I2&gt;=300,"Standard","Low-Value"))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14C1-D7CE-4732-A4F4-99577CEC138A}">
  <dimension ref="A1:D8"/>
  <sheetViews>
    <sheetView workbookViewId="0">
      <selection activeCell="G2" sqref="G2"/>
    </sheetView>
  </sheetViews>
  <sheetFormatPr defaultRowHeight="14.5" x14ac:dyDescent="0.35"/>
  <cols>
    <col min="1" max="1" width="13.08984375" bestFit="1" customWidth="1"/>
    <col min="2" max="2" width="16.453125" bestFit="1" customWidth="1"/>
    <col min="3" max="3" width="17.7265625" bestFit="1" customWidth="1"/>
    <col min="4" max="4" width="14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4">
      <c r="A2" s="10" t="s">
        <v>4</v>
      </c>
      <c r="B2" s="10" t="s">
        <v>5</v>
      </c>
      <c r="C2" s="10" t="s">
        <v>6</v>
      </c>
      <c r="D2" s="10">
        <v>5</v>
      </c>
    </row>
    <row r="3" spans="1:4" ht="15" thickBot="1" x14ac:dyDescent="0.4">
      <c r="A3" s="10" t="s">
        <v>7</v>
      </c>
      <c r="B3" s="10" t="s">
        <v>8</v>
      </c>
      <c r="C3" s="10" t="s">
        <v>9</v>
      </c>
      <c r="D3" s="10">
        <v>12</v>
      </c>
    </row>
    <row r="4" spans="1:4" ht="15" thickBot="1" x14ac:dyDescent="0.4">
      <c r="A4" s="10" t="s">
        <v>10</v>
      </c>
      <c r="B4" s="10" t="s">
        <v>11</v>
      </c>
      <c r="C4" s="10" t="s">
        <v>6</v>
      </c>
      <c r="D4" s="10">
        <v>2</v>
      </c>
    </row>
    <row r="5" spans="1:4" ht="15" thickBot="1" x14ac:dyDescent="0.4">
      <c r="A5" s="10" t="s">
        <v>12</v>
      </c>
      <c r="B5" s="10" t="s">
        <v>5</v>
      </c>
      <c r="C5" s="10" t="s">
        <v>13</v>
      </c>
      <c r="D5" s="10">
        <v>8</v>
      </c>
    </row>
    <row r="6" spans="1:4" ht="15" thickBot="1" x14ac:dyDescent="0.4">
      <c r="A6" s="10" t="s">
        <v>14</v>
      </c>
      <c r="B6" s="10" t="s">
        <v>15</v>
      </c>
      <c r="C6" s="10" t="s">
        <v>9</v>
      </c>
      <c r="D6" s="10">
        <v>1</v>
      </c>
    </row>
    <row r="7" spans="1:4" ht="15" thickBot="1" x14ac:dyDescent="0.4">
      <c r="A7" s="10" t="s">
        <v>16</v>
      </c>
      <c r="B7" s="10" t="s">
        <v>11</v>
      </c>
      <c r="C7" s="10" t="s">
        <v>13</v>
      </c>
      <c r="D7" s="10">
        <v>15</v>
      </c>
    </row>
    <row r="8" spans="1:4" x14ac:dyDescent="0.35">
      <c r="A8" s="11" t="s">
        <v>17</v>
      </c>
      <c r="B8" s="11" t="s">
        <v>18</v>
      </c>
      <c r="C8" s="11" t="s">
        <v>6</v>
      </c>
      <c r="D8" s="1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98D6-9C8C-445A-911C-E8EC7FFACBE1}">
  <dimension ref="A1:C6"/>
  <sheetViews>
    <sheetView workbookViewId="0">
      <selection activeCell="E2" sqref="E2"/>
    </sheetView>
  </sheetViews>
  <sheetFormatPr defaultRowHeight="14.5" x14ac:dyDescent="0.35"/>
  <cols>
    <col min="1" max="1" width="15.90625" bestFit="1" customWidth="1"/>
    <col min="2" max="2" width="18.81640625" bestFit="1" customWidth="1"/>
    <col min="3" max="3" width="10.90625" bestFit="1" customWidth="1"/>
  </cols>
  <sheetData>
    <row r="1" spans="1:3" x14ac:dyDescent="0.35">
      <c r="A1" s="1" t="s">
        <v>1</v>
      </c>
      <c r="B1" s="1" t="s">
        <v>19</v>
      </c>
      <c r="C1" s="1" t="s">
        <v>20</v>
      </c>
    </row>
    <row r="2" spans="1:3" ht="15" thickBot="1" x14ac:dyDescent="0.4">
      <c r="A2" s="10" t="s">
        <v>5</v>
      </c>
      <c r="B2" s="10" t="s">
        <v>21</v>
      </c>
      <c r="C2" s="10" t="s">
        <v>22</v>
      </c>
    </row>
    <row r="3" spans="1:3" ht="15" thickBot="1" x14ac:dyDescent="0.4">
      <c r="A3" s="10" t="s">
        <v>11</v>
      </c>
      <c r="B3" s="10" t="s">
        <v>23</v>
      </c>
      <c r="C3" s="10" t="s">
        <v>24</v>
      </c>
    </row>
    <row r="4" spans="1:3" ht="15" thickBot="1" x14ac:dyDescent="0.4">
      <c r="A4" s="10" t="s">
        <v>15</v>
      </c>
      <c r="B4" s="10" t="s">
        <v>25</v>
      </c>
      <c r="C4" s="10" t="s">
        <v>26</v>
      </c>
    </row>
    <row r="5" spans="1:3" ht="15" thickBot="1" x14ac:dyDescent="0.4">
      <c r="A5" s="10" t="s">
        <v>8</v>
      </c>
      <c r="B5" s="10" t="s">
        <v>27</v>
      </c>
      <c r="C5" s="10" t="s">
        <v>28</v>
      </c>
    </row>
    <row r="6" spans="1:3" x14ac:dyDescent="0.35">
      <c r="A6" s="11" t="s">
        <v>18</v>
      </c>
      <c r="B6" s="11" t="s">
        <v>29</v>
      </c>
      <c r="C6" s="1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B214-E140-4A07-8097-3803E1D1E1F9}">
  <dimension ref="A1:B4"/>
  <sheetViews>
    <sheetView workbookViewId="0">
      <selection activeCell="D10" sqref="D10"/>
    </sheetView>
  </sheetViews>
  <sheetFormatPr defaultRowHeight="14.5" x14ac:dyDescent="0.35"/>
  <cols>
    <col min="1" max="1" width="15" bestFit="1" customWidth="1"/>
    <col min="2" max="2" width="17.7265625" bestFit="1" customWidth="1"/>
  </cols>
  <sheetData>
    <row r="1" spans="1:2" x14ac:dyDescent="0.35">
      <c r="A1" s="1" t="s">
        <v>30</v>
      </c>
      <c r="B1" s="1" t="s">
        <v>2</v>
      </c>
    </row>
    <row r="2" spans="1:2" ht="15" thickBot="1" x14ac:dyDescent="0.4">
      <c r="A2" s="10">
        <v>150</v>
      </c>
      <c r="B2" s="10" t="s">
        <v>6</v>
      </c>
    </row>
    <row r="3" spans="1:2" ht="15" thickBot="1" x14ac:dyDescent="0.4">
      <c r="A3" s="10">
        <v>45</v>
      </c>
      <c r="B3" s="10" t="s">
        <v>9</v>
      </c>
    </row>
    <row r="4" spans="1:2" x14ac:dyDescent="0.35">
      <c r="A4" s="11">
        <v>85</v>
      </c>
      <c r="B4" s="11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CF2E-CCB8-4895-BBD7-AF873F457974}">
  <dimension ref="A1:J8"/>
  <sheetViews>
    <sheetView workbookViewId="0">
      <selection activeCell="E16" sqref="E16"/>
    </sheetView>
  </sheetViews>
  <sheetFormatPr defaultRowHeight="14.5" x14ac:dyDescent="0.35"/>
  <cols>
    <col min="1" max="1" width="10.81640625" bestFit="1" customWidth="1"/>
    <col min="2" max="2" width="14.08984375" bestFit="1" customWidth="1"/>
    <col min="3" max="3" width="15" bestFit="1" customWidth="1"/>
    <col min="4" max="4" width="12" bestFit="1" customWidth="1"/>
    <col min="5" max="5" width="30.54296875" bestFit="1" customWidth="1"/>
    <col min="6" max="6" width="21.90625" bestFit="1" customWidth="1"/>
    <col min="7" max="7" width="23.81640625" bestFit="1" customWidth="1"/>
    <col min="8" max="8" width="15.54296875" customWidth="1"/>
    <col min="9" max="9" width="17.7265625" customWidth="1"/>
    <col min="10" max="10" width="14.81640625" customWidth="1"/>
  </cols>
  <sheetData>
    <row r="1" spans="1:10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31</v>
      </c>
      <c r="F1" s="12" t="s">
        <v>32</v>
      </c>
      <c r="G1" s="12" t="s">
        <v>33</v>
      </c>
      <c r="H1" s="12" t="s">
        <v>34</v>
      </c>
      <c r="I1" s="12" t="s">
        <v>35</v>
      </c>
      <c r="J1" s="12" t="s">
        <v>36</v>
      </c>
    </row>
    <row r="2" spans="1:10" x14ac:dyDescent="0.35">
      <c r="A2" s="7" t="s">
        <v>4</v>
      </c>
      <c r="B2" s="7" t="s">
        <v>5</v>
      </c>
      <c r="C2" s="7" t="s">
        <v>6</v>
      </c>
      <c r="D2" s="7">
        <v>5</v>
      </c>
      <c r="E2" s="7" t="s">
        <v>21</v>
      </c>
      <c r="F2" s="7" t="s">
        <v>22</v>
      </c>
      <c r="G2" s="7">
        <v>150</v>
      </c>
      <c r="H2" s="7" t="str">
        <f t="shared" ref="H2:H8" si="0">MID(C2,6,4)</f>
        <v>9921</v>
      </c>
      <c r="I2" s="7">
        <f t="shared" ref="I2:I8" si="1">D2*G2</f>
        <v>750</v>
      </c>
      <c r="J2" s="7" t="str">
        <f t="shared" ref="J2:J8" si="2">IF(I2&gt;=1000,"High-Value",IF(I2&gt;=300,"Standard","Low-Value"))</f>
        <v>Standard</v>
      </c>
    </row>
    <row r="3" spans="1:10" x14ac:dyDescent="0.35">
      <c r="A3" s="7" t="s">
        <v>10</v>
      </c>
      <c r="B3" s="7" t="s">
        <v>11</v>
      </c>
      <c r="C3" s="7" t="s">
        <v>6</v>
      </c>
      <c r="D3" s="7">
        <v>2</v>
      </c>
      <c r="E3" s="7" t="s">
        <v>23</v>
      </c>
      <c r="F3" s="7" t="s">
        <v>24</v>
      </c>
      <c r="G3" s="7">
        <v>150</v>
      </c>
      <c r="H3" s="7" t="str">
        <f t="shared" si="0"/>
        <v>9921</v>
      </c>
      <c r="I3" s="7">
        <f t="shared" si="1"/>
        <v>300</v>
      </c>
      <c r="J3" s="7" t="str">
        <f t="shared" si="2"/>
        <v>Standard</v>
      </c>
    </row>
    <row r="4" spans="1:10" x14ac:dyDescent="0.35">
      <c r="A4" s="7" t="s">
        <v>12</v>
      </c>
      <c r="B4" s="7" t="s">
        <v>5</v>
      </c>
      <c r="C4" s="7" t="s">
        <v>13</v>
      </c>
      <c r="D4" s="7">
        <v>8</v>
      </c>
      <c r="E4" s="7" t="s">
        <v>21</v>
      </c>
      <c r="F4" s="7" t="s">
        <v>22</v>
      </c>
      <c r="G4" s="7">
        <v>85</v>
      </c>
      <c r="H4" s="7" t="str">
        <f t="shared" si="0"/>
        <v>8815</v>
      </c>
      <c r="I4" s="7">
        <f t="shared" si="1"/>
        <v>680</v>
      </c>
      <c r="J4" s="7" t="str">
        <f t="shared" si="2"/>
        <v>Standard</v>
      </c>
    </row>
    <row r="5" spans="1:10" x14ac:dyDescent="0.35">
      <c r="A5" s="7" t="s">
        <v>7</v>
      </c>
      <c r="B5" s="7" t="s">
        <v>8</v>
      </c>
      <c r="C5" s="7" t="s">
        <v>9</v>
      </c>
      <c r="D5" s="7">
        <v>12</v>
      </c>
      <c r="E5" s="7" t="s">
        <v>27</v>
      </c>
      <c r="F5" s="7" t="s">
        <v>28</v>
      </c>
      <c r="G5" s="7">
        <v>45</v>
      </c>
      <c r="H5" s="7" t="str">
        <f t="shared" si="0"/>
        <v>4012</v>
      </c>
      <c r="I5" s="7">
        <f t="shared" si="1"/>
        <v>540</v>
      </c>
      <c r="J5" s="7" t="str">
        <f t="shared" si="2"/>
        <v>Standard</v>
      </c>
    </row>
    <row r="6" spans="1:10" x14ac:dyDescent="0.35">
      <c r="A6" s="7" t="s">
        <v>16</v>
      </c>
      <c r="B6" s="7" t="s">
        <v>11</v>
      </c>
      <c r="C6" s="7" t="s">
        <v>13</v>
      </c>
      <c r="D6" s="7">
        <v>15</v>
      </c>
      <c r="E6" s="7" t="s">
        <v>23</v>
      </c>
      <c r="F6" s="7" t="s">
        <v>24</v>
      </c>
      <c r="G6" s="7">
        <v>85</v>
      </c>
      <c r="H6" s="7" t="str">
        <f t="shared" si="0"/>
        <v>8815</v>
      </c>
      <c r="I6" s="7">
        <f t="shared" si="1"/>
        <v>1275</v>
      </c>
      <c r="J6" s="7" t="str">
        <f t="shared" si="2"/>
        <v>High-Value</v>
      </c>
    </row>
    <row r="7" spans="1:10" x14ac:dyDescent="0.35">
      <c r="A7" s="7" t="s">
        <v>14</v>
      </c>
      <c r="B7" s="7" t="s">
        <v>15</v>
      </c>
      <c r="C7" s="7" t="s">
        <v>9</v>
      </c>
      <c r="D7" s="7">
        <v>1</v>
      </c>
      <c r="E7" s="7" t="s">
        <v>25</v>
      </c>
      <c r="F7" s="7" t="s">
        <v>26</v>
      </c>
      <c r="G7" s="7">
        <v>45</v>
      </c>
      <c r="H7" s="7" t="str">
        <f t="shared" si="0"/>
        <v>4012</v>
      </c>
      <c r="I7" s="7">
        <f t="shared" si="1"/>
        <v>45</v>
      </c>
      <c r="J7" s="7" t="str">
        <f t="shared" si="2"/>
        <v>Low-Value</v>
      </c>
    </row>
    <row r="8" spans="1:10" x14ac:dyDescent="0.35">
      <c r="A8" s="7" t="s">
        <v>17</v>
      </c>
      <c r="B8" s="7" t="s">
        <v>18</v>
      </c>
      <c r="C8" s="7" t="s">
        <v>6</v>
      </c>
      <c r="D8" s="7">
        <v>4</v>
      </c>
      <c r="E8" s="7" t="s">
        <v>29</v>
      </c>
      <c r="F8" s="7" t="s">
        <v>24</v>
      </c>
      <c r="G8" s="7">
        <v>150</v>
      </c>
      <c r="H8" s="7" t="str">
        <f t="shared" si="0"/>
        <v>9921</v>
      </c>
      <c r="I8" s="7">
        <f t="shared" si="1"/>
        <v>600</v>
      </c>
      <c r="J8" s="7" t="str">
        <f t="shared" si="2"/>
        <v>Standard</v>
      </c>
    </row>
  </sheetData>
  <conditionalFormatting sqref="J1:J1048576">
    <cfRule type="containsText" dxfId="0" priority="1" operator="containsText" text="High-Value">
      <formula>NOT(ISERROR(SEARCH("High-Value",J1)))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F0A6-1AD9-449B-A604-1FFB344C0C73}">
  <dimension ref="A3:K17"/>
  <sheetViews>
    <sheetView zoomScaleNormal="100" workbookViewId="0">
      <selection activeCell="E9" sqref="E9"/>
    </sheetView>
  </sheetViews>
  <sheetFormatPr defaultRowHeight="14.5" x14ac:dyDescent="0.35"/>
  <cols>
    <col min="1" max="1" width="16.08984375" bestFit="1" customWidth="1"/>
    <col min="2" max="2" width="20.1796875" bestFit="1" customWidth="1"/>
    <col min="3" max="3" width="17.81640625" bestFit="1" customWidth="1"/>
    <col min="4" max="4" width="8.453125" bestFit="1" customWidth="1"/>
    <col min="5" max="5" width="10.7265625" bestFit="1" customWidth="1"/>
    <col min="7" max="7" width="20.54296875" customWidth="1"/>
    <col min="8" max="8" width="20.1796875" bestFit="1" customWidth="1"/>
    <col min="9" max="9" width="17.81640625" bestFit="1" customWidth="1"/>
    <col min="10" max="10" width="8.453125" bestFit="1" customWidth="1"/>
    <col min="11" max="11" width="10.7265625" bestFit="1" customWidth="1"/>
  </cols>
  <sheetData>
    <row r="3" spans="1:11" x14ac:dyDescent="0.35">
      <c r="A3" s="2" t="s">
        <v>37</v>
      </c>
      <c r="B3" t="s">
        <v>43</v>
      </c>
    </row>
    <row r="4" spans="1:11" x14ac:dyDescent="0.35">
      <c r="A4" s="3" t="s">
        <v>26</v>
      </c>
      <c r="B4">
        <v>45</v>
      </c>
    </row>
    <row r="5" spans="1:11" x14ac:dyDescent="0.35">
      <c r="A5" s="3" t="s">
        <v>22</v>
      </c>
      <c r="B5">
        <v>1430</v>
      </c>
      <c r="G5" s="2" t="s">
        <v>43</v>
      </c>
      <c r="H5" s="2" t="s">
        <v>39</v>
      </c>
    </row>
    <row r="6" spans="1:11" x14ac:dyDescent="0.35">
      <c r="A6" s="3" t="s">
        <v>28</v>
      </c>
      <c r="B6">
        <v>540</v>
      </c>
      <c r="G6" s="2" t="s">
        <v>37</v>
      </c>
      <c r="H6" t="s">
        <v>40</v>
      </c>
      <c r="I6" t="s">
        <v>41</v>
      </c>
      <c r="J6" t="s">
        <v>42</v>
      </c>
      <c r="K6" t="s">
        <v>38</v>
      </c>
    </row>
    <row r="7" spans="1:11" x14ac:dyDescent="0.35">
      <c r="A7" s="3" t="s">
        <v>24</v>
      </c>
      <c r="B7">
        <v>2175</v>
      </c>
      <c r="G7" s="3" t="s">
        <v>26</v>
      </c>
    </row>
    <row r="8" spans="1:11" x14ac:dyDescent="0.35">
      <c r="G8" s="4" t="s">
        <v>25</v>
      </c>
      <c r="H8">
        <v>1275</v>
      </c>
      <c r="I8">
        <v>45</v>
      </c>
      <c r="J8">
        <v>2870</v>
      </c>
      <c r="K8">
        <v>4190</v>
      </c>
    </row>
    <row r="9" spans="1:11" x14ac:dyDescent="0.35">
      <c r="G9" s="3" t="s">
        <v>22</v>
      </c>
    </row>
    <row r="10" spans="1:11" x14ac:dyDescent="0.35">
      <c r="G10" s="4" t="s">
        <v>21</v>
      </c>
      <c r="H10">
        <v>1275</v>
      </c>
      <c r="I10">
        <v>45</v>
      </c>
      <c r="J10">
        <v>2870</v>
      </c>
      <c r="K10">
        <v>4190</v>
      </c>
    </row>
    <row r="11" spans="1:11" x14ac:dyDescent="0.35">
      <c r="G11" s="3" t="s">
        <v>28</v>
      </c>
    </row>
    <row r="12" spans="1:11" x14ac:dyDescent="0.35">
      <c r="G12" s="4" t="s">
        <v>27</v>
      </c>
      <c r="H12">
        <v>1275</v>
      </c>
      <c r="I12">
        <v>45</v>
      </c>
      <c r="J12">
        <v>2870</v>
      </c>
      <c r="K12">
        <v>4190</v>
      </c>
    </row>
    <row r="13" spans="1:11" x14ac:dyDescent="0.35">
      <c r="G13" s="3" t="s">
        <v>24</v>
      </c>
    </row>
    <row r="14" spans="1:11" x14ac:dyDescent="0.35">
      <c r="G14" s="4" t="s">
        <v>29</v>
      </c>
      <c r="H14">
        <v>1275</v>
      </c>
      <c r="I14">
        <v>45</v>
      </c>
      <c r="J14">
        <v>2870</v>
      </c>
      <c r="K14">
        <v>4190</v>
      </c>
    </row>
    <row r="15" spans="1:11" x14ac:dyDescent="0.35">
      <c r="G15" s="4" t="s">
        <v>23</v>
      </c>
      <c r="H15">
        <v>1275</v>
      </c>
      <c r="I15">
        <v>45</v>
      </c>
      <c r="J15">
        <v>2870</v>
      </c>
      <c r="K15">
        <v>4190</v>
      </c>
    </row>
    <row r="16" spans="1:11" x14ac:dyDescent="0.35">
      <c r="A16" t="s">
        <v>44</v>
      </c>
      <c r="B16" t="s">
        <v>43</v>
      </c>
      <c r="C16" t="s">
        <v>45</v>
      </c>
    </row>
    <row r="17" spans="1:3" x14ac:dyDescent="0.35">
      <c r="A17">
        <v>47</v>
      </c>
      <c r="B17">
        <v>4190</v>
      </c>
      <c r="C17">
        <v>7</v>
      </c>
    </row>
  </sheetData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33C7-399B-47B9-80F2-EBF6D48453E2}">
  <dimension ref="A1:S9"/>
  <sheetViews>
    <sheetView showGridLines="0" tabSelected="1" zoomScale="75" zoomScaleNormal="75" workbookViewId="0">
      <selection activeCell="U1" sqref="U1"/>
    </sheetView>
  </sheetViews>
  <sheetFormatPr defaultRowHeight="14.5" x14ac:dyDescent="0.35"/>
  <cols>
    <col min="6" max="6" width="8.7265625" customWidth="1"/>
    <col min="11" max="11" width="8.7265625" customWidth="1"/>
  </cols>
  <sheetData>
    <row r="1" spans="1:19" x14ac:dyDescent="0.35">
      <c r="A1" s="5"/>
      <c r="B1" s="5"/>
      <c r="C1" s="5"/>
      <c r="D1" s="5"/>
      <c r="E1" s="5"/>
      <c r="F1" s="5"/>
      <c r="G1" s="13"/>
      <c r="H1" s="13"/>
      <c r="I1" s="13"/>
      <c r="J1" s="13"/>
      <c r="K1" s="13"/>
      <c r="L1" s="5"/>
      <c r="M1" s="5"/>
      <c r="N1" s="5"/>
      <c r="O1" s="5"/>
      <c r="P1" s="5"/>
      <c r="Q1" s="5"/>
      <c r="R1" s="5"/>
      <c r="S1" s="5"/>
    </row>
    <row r="2" spans="1:19" ht="31" x14ac:dyDescent="0.7">
      <c r="A2" s="5"/>
      <c r="B2" s="5"/>
      <c r="C2" s="5"/>
      <c r="D2" s="5"/>
      <c r="E2" s="5"/>
      <c r="F2" s="8"/>
      <c r="G2" s="9" t="s">
        <v>46</v>
      </c>
      <c r="H2" s="9"/>
      <c r="I2" s="9"/>
      <c r="J2" s="9"/>
      <c r="K2" s="9"/>
      <c r="L2" s="5"/>
      <c r="M2" s="5"/>
      <c r="N2" s="5"/>
      <c r="O2" s="5"/>
      <c r="P2" s="5"/>
      <c r="Q2" s="5"/>
      <c r="R2" s="5"/>
      <c r="S2" s="5"/>
    </row>
    <row r="3" spans="1:19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9" spans="1:19" x14ac:dyDescent="0.35">
      <c r="H9" s="6"/>
    </row>
  </sheetData>
  <mergeCells count="1">
    <mergeCell ref="G1:K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45DF0D-C866-4F4C-BF9E-8D4BEEFFC6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Raw_Orders</vt:lpstr>
      <vt:lpstr>Master_Customers</vt:lpstr>
      <vt:lpstr>Product_Catalog</vt:lpstr>
      <vt:lpstr>Clean_Data_Warehouse</vt:lpstr>
      <vt:lpstr>Pivot_Analysis</vt:lpstr>
      <vt:lpstr>Executive_Dashboard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2026-10-19T11:05:29Z</dcterms:created>
  <dcterms:modified xsi:type="dcterms:W3CDTF">2026-10-21T15:19:41Z</dcterms:modified>
</cp:coreProperties>
</file>